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Feuille 3" sheetId="2" r:id="rId6"/>
    <sheet state="visible" name="Feuille 2" sheetId="3" r:id="rId7"/>
  </sheets>
  <definedNames/>
  <calcPr/>
</workbook>
</file>

<file path=xl/sharedStrings.xml><?xml version="1.0" encoding="utf-8"?>
<sst xmlns="http://schemas.openxmlformats.org/spreadsheetml/2006/main" count="707" uniqueCount="413">
  <si>
    <t>No</t>
  </si>
  <si>
    <t>ENTREPRENEURS</t>
  </si>
  <si>
    <t>STATUT</t>
  </si>
  <si>
    <t>ASSO.</t>
  </si>
  <si>
    <t>CHANTIER COMMUN EN PREPA</t>
  </si>
  <si>
    <t>CHANTIER ANTICIPE</t>
  </si>
  <si>
    <t>MOB</t>
  </si>
  <si>
    <t>BA.R</t>
  </si>
  <si>
    <t>ECURIES</t>
  </si>
  <si>
    <t>SOLIVAGE</t>
  </si>
  <si>
    <t>Simon</t>
  </si>
  <si>
    <t>CHARPENTE</t>
  </si>
  <si>
    <t>ISOLATION</t>
  </si>
  <si>
    <t>CHEVRONS</t>
  </si>
  <si>
    <t>HPV</t>
  </si>
  <si>
    <t>Déscripton du chantier:</t>
  </si>
  <si>
    <t>localité:</t>
  </si>
  <si>
    <t>Effectif:</t>
  </si>
  <si>
    <t>Logistique</t>
  </si>
  <si>
    <t>Levage</t>
  </si>
  <si>
    <t xml:space="preserve">Sécurité </t>
  </si>
  <si>
    <t>Accès</t>
  </si>
  <si>
    <t>LATTES</t>
  </si>
  <si>
    <t xml:space="preserve">Projet de rénovation d'un garage en studio; surface au sol 38 m², action menés: réféction de toiture </t>
  </si>
  <si>
    <t>Sainte-foy de Peyrolière</t>
  </si>
  <si>
    <t>Livraison fournisseur sur chantier</t>
  </si>
  <si>
    <t>Non, réutilisation des tuiles, stockage sur plateforme echaffaudée</t>
  </si>
  <si>
    <t>Echaffaudage bas de pente, plateforme 9m² stockage tuile</t>
  </si>
  <si>
    <t>Echaffaudage</t>
  </si>
  <si>
    <t>LITEAUX</t>
  </si>
  <si>
    <t>Tableau des valeurs à remplir (couverture)</t>
  </si>
  <si>
    <t>Tableau des valeurs à remplir (MOB)</t>
  </si>
  <si>
    <t>TUILES</t>
  </si>
  <si>
    <t>Mètre carrés de couverture:</t>
  </si>
  <si>
    <t>Mètre linéaire de murs:</t>
  </si>
  <si>
    <t>FAITAGE</t>
  </si>
  <si>
    <t>Pente:</t>
  </si>
  <si>
    <t>Hauteur au faitage:</t>
  </si>
  <si>
    <t>ARETIERS</t>
  </si>
  <si>
    <t>Hauteur à l'égout:</t>
  </si>
  <si>
    <t>NOUES</t>
  </si>
  <si>
    <t>Accès:</t>
  </si>
  <si>
    <t>Possible echaff</t>
  </si>
  <si>
    <t>Montants</t>
  </si>
  <si>
    <t>PORTEUSES</t>
  </si>
  <si>
    <t>C18</t>
  </si>
  <si>
    <t>100×200</t>
  </si>
  <si>
    <t>Sarking</t>
  </si>
  <si>
    <t>63×100</t>
  </si>
  <si>
    <t>ECRAN R2 HPV 50/1,50M ELOS</t>
  </si>
  <si>
    <t>18×44</t>
  </si>
  <si>
    <t>LITEAUX sapin 3X4cm</t>
  </si>
  <si>
    <t>TERREAL</t>
  </si>
  <si>
    <t>TERREAL - DC12 Double Canal 12</t>
  </si>
  <si>
    <t>ML</t>
  </si>
  <si>
    <t>Lisses</t>
  </si>
  <si>
    <t>SOLIVES</t>
  </si>
  <si>
    <t>C24/C30</t>
  </si>
  <si>
    <t>75 × 225</t>
  </si>
  <si>
    <t>ISO ENTRE CHEVRONS</t>
  </si>
  <si>
    <t>EDILIANS</t>
  </si>
  <si>
    <t>CTVT</t>
  </si>
  <si>
    <t>PLANCHE</t>
  </si>
  <si>
    <t>TRI-ISO</t>
  </si>
  <si>
    <t>Volige</t>
  </si>
  <si>
    <t>VOLIGES 15mm TR2 TTL ( toutes largeurs )</t>
  </si>
  <si>
    <t>EAU INT</t>
  </si>
  <si>
    <t>AUTRES</t>
  </si>
  <si>
    <t>EAU EXT</t>
  </si>
  <si>
    <t>Sous-Lisses</t>
  </si>
  <si>
    <t>Désignation</t>
  </si>
  <si>
    <t>def</t>
  </si>
  <si>
    <t>ref calcul/quantitatif</t>
  </si>
  <si>
    <t>Coût unitaire TTC</t>
  </si>
  <si>
    <t>Charge</t>
  </si>
  <si>
    <t>Marge</t>
  </si>
  <si>
    <t>Revente facturé</t>
  </si>
  <si>
    <t>Temps de pose /h</t>
  </si>
  <si>
    <t xml:space="preserve">taux </t>
  </si>
  <si>
    <t>Presta facturé</t>
  </si>
  <si>
    <t>Total facturé</t>
  </si>
  <si>
    <t>/ml</t>
  </si>
  <si>
    <t>ml</t>
  </si>
  <si>
    <t>/m²</t>
  </si>
  <si>
    <t>VOLIGE</t>
  </si>
  <si>
    <t>m²</t>
  </si>
  <si>
    <t>jours</t>
  </si>
  <si>
    <t>semaines</t>
  </si>
  <si>
    <t>traitement</t>
  </si>
  <si>
    <t>section(mm)</t>
  </si>
  <si>
    <t>nbr</t>
  </si>
  <si>
    <t>qu</t>
  </si>
  <si>
    <t xml:space="preserve">prix </t>
  </si>
  <si>
    <t>revente</t>
  </si>
  <si>
    <t>quantitatif</t>
  </si>
  <si>
    <t>commande</t>
  </si>
  <si>
    <t>Longueur</t>
  </si>
  <si>
    <t>Matériau</t>
  </si>
  <si>
    <t>Type de tête</t>
  </si>
  <si>
    <t>Produit / Référence</t>
  </si>
  <si>
    <t>Conditionnement</t>
  </si>
  <si>
    <t>Prix ~ € / unité</t>
  </si>
  <si>
    <t>OSSATURE DOUGLAS NAT. 45X95 RAB4F SEC 18 %</t>
  </si>
  <si>
    <t>E1</t>
  </si>
  <si>
    <t>45*95</t>
  </si>
  <si>
    <t>40 mm</t>
  </si>
  <si>
    <t>Inox A2</t>
  </si>
  <si>
    <t>Tête fraisée</t>
  </si>
  <si>
    <t>Vis bois Torx Inox 6×40 (Fixtout)</t>
  </si>
  <si>
    <t>100 pcs</t>
  </si>
  <si>
    <t>~0,135 € (13,50 € /100)</t>
  </si>
  <si>
    <t>OSSATURE DOUGLAS NAT. 45X145 RAB4F SEC 18 %</t>
  </si>
  <si>
    <t>45*145</t>
  </si>
  <si>
    <t>60 mm</t>
  </si>
  <si>
    <r>
      <rPr>
        <rFont val="Arial"/>
        <color theme="1"/>
      </rPr>
      <t>8 vis inox tête fraisée Torx Ø6 x L.60 mm</t>
    </r>
  </si>
  <si>
    <t>8 pcs</t>
  </si>
  <si>
    <t>~0,87 €/vis</t>
  </si>
  <si>
    <t>OSSATURE DOUGLAS NAT. 45X220 RAB4F SEC 18 %</t>
  </si>
  <si>
    <t>45*220</t>
  </si>
  <si>
    <t>Acier zingué</t>
  </si>
  <si>
    <t>Tête fraisée Torx</t>
  </si>
  <si>
    <r>
      <rPr>
        <rFont val="Arial"/>
        <color theme="1"/>
      </rPr>
      <t>Vis à bois bichromatée tête fraisée Torx</t>
    </r>
  </si>
  <si>
    <t>Variable</t>
  </si>
  <si>
    <t>~0,056 €*</t>
  </si>
  <si>
    <t>OSB3 12MM 2.50 X 1.25 PNX 3.125m2</t>
  </si>
  <si>
    <t>E19</t>
  </si>
  <si>
    <t>1250*2500</t>
  </si>
  <si>
    <t>80 mm</t>
  </si>
  <si>
    <t>Acier</t>
  </si>
  <si>
    <r>
      <rPr>
        <rFont val="Arial"/>
        <color theme="1"/>
      </rPr>
      <t>10 Vis Agglo Acier Tête Fraisée Torx 6x80mm - Coteka</t>
    </r>
  </si>
  <si>
    <t>10 pcs</t>
  </si>
  <si>
    <t>~0,50 €/vis</t>
  </si>
  <si>
    <t>PARE VAPEUR SALOLA AEROVAP SD18 - Rlx75m2</t>
  </si>
  <si>
    <r>
      <rPr>
        <rFont val="Arial"/>
        <color theme="1"/>
      </rPr>
      <t>100x Vis à bois tête fraisée en Acier inoxydable Torx V2A 6x80mm</t>
    </r>
  </si>
  <si>
    <t>~0,24 €/vis</t>
  </si>
  <si>
    <t>BNR TR CL4 VERT - RABOTE 4 FACES section 45X145mm</t>
  </si>
  <si>
    <t>Demi-ronde Torx</t>
  </si>
  <si>
    <r>
      <rPr>
        <rFont val="Arial"/>
        <color theme="1"/>
      </rPr>
      <t>90 vis acier tête demi‑ronde torx VISSAL</t>
    </r>
  </si>
  <si>
    <t>90 pcs</t>
  </si>
  <si>
    <t>~0,12 €/vis</t>
  </si>
  <si>
    <t>BNR TR CL4 VERT - RABOTE 4 FACES section 45X220mm</t>
  </si>
  <si>
    <t>E20</t>
  </si>
  <si>
    <t>100 mm</t>
  </si>
  <si>
    <t>entrepôt du bricolage — inox 50 pcs</t>
  </si>
  <si>
    <t>~24,95 € /50</t>
  </si>
  <si>
    <t>LAINE DE BOIS SEMIN FLEX PLUS 1.22 x 0.565m ép. 145mm</t>
  </si>
  <si>
    <t>prix-de-gros inox 100 pcs</t>
  </si>
  <si>
    <t>31,24 € /100</t>
  </si>
  <si>
    <t>~0,31 €/vis</t>
  </si>
  <si>
    <t>BARDAGE EPICEA TR CL3 MARRON - PROFIL LINE 125 20 x 125 MM</t>
  </si>
  <si>
    <t>20*125</t>
  </si>
  <si>
    <t>Acier galvanisé</t>
  </si>
  <si>
    <t>prix-de-gros galvanisée 100 pcs</t>
  </si>
  <si>
    <t>12,19 € /100</t>
  </si>
  <si>
    <t>DELTA PROTEKT BANDE D'ARASE (sur chape) 25m x 0.25 RLX</t>
  </si>
  <si>
    <t>120 mm</t>
  </si>
  <si>
    <t>16,61 € /100</t>
  </si>
  <si>
    <t>~0,17 €/vis</t>
  </si>
  <si>
    <r>
      <rPr>
        <rFont val="Arial"/>
        <color theme="1"/>
      </rPr>
      <t>Sud Bois Vis pour Bois en Inox Classic 6x120 mm</t>
    </r>
  </si>
  <si>
    <t>~0,22 €/vis</t>
  </si>
  <si>
    <t>prix</t>
  </si>
  <si>
    <t>140 mm</t>
  </si>
  <si>
    <t>(présent mais non listé commercialement)**</t>
  </si>
  <si>
    <r>
      <rPr>
        <rFont val="Arial"/>
        <color theme="1"/>
      </rPr>
      <t>Vis bois TX Turbodrive Premium 6x140</t>
    </r>
  </si>
  <si>
    <t>1 lot</t>
  </si>
  <si>
    <t>~32,90 € (lot)</t>
  </si>
  <si>
    <t>u</t>
  </si>
  <si>
    <r>
      <rPr>
        <rFont val="Arial"/>
        <color theme="1"/>
      </rPr>
      <t>8 vis inox tête fraisée Torx Ø6 x L.60 mm</t>
    </r>
  </si>
  <si>
    <t>Essence</t>
  </si>
  <si>
    <t>Section (mm)</t>
  </si>
  <si>
    <t>Usage principal</t>
  </si>
  <si>
    <t>Longueurs (m)</t>
  </si>
  <si>
    <t>Prix ~ €/m linéaire (indicatif)</t>
  </si>
  <si>
    <t>Remarques</t>
  </si>
  <si>
    <r>
      <rPr>
        <rFont val="Arial"/>
        <color theme="1"/>
      </rPr>
      <t>Vis à bois bichromatée tête fraisée Torx</t>
    </r>
  </si>
  <si>
    <t>Résineux – Sapin / Épicéa</t>
  </si>
  <si>
    <t>Liteaux</t>
  </si>
  <si>
    <t>2,40–3,00</t>
  </si>
  <si>
    <t>~0,40 €</t>
  </si>
  <si>
    <t>Bois tendre, standard Bricolage</t>
  </si>
  <si>
    <r>
      <rPr>
        <rFont val="Arial"/>
        <color theme="1"/>
      </rPr>
      <t>10 Vis Agglo Acier Tête Fraisée Torx 6x80mm - Coteka</t>
    </r>
  </si>
  <si>
    <t>27×44</t>
  </si>
  <si>
    <t>Liteaux renforcés</t>
  </si>
  <si>
    <t>2,40–4,00</t>
  </si>
  <si>
    <t>~0,60 €</t>
  </si>
  <si>
    <t>Ossature légère</t>
  </si>
  <si>
    <r>
      <rPr>
        <rFont val="Arial"/>
        <color theme="1"/>
      </rPr>
      <t>100x Vis à bois tête fraisée en Acier inoxydable Torx V2A 6x80mm</t>
    </r>
  </si>
  <si>
    <t>38×63</t>
  </si>
  <si>
    <t>Ossature</t>
  </si>
  <si>
    <t>2,40–5,00</t>
  </si>
  <si>
    <t>~0,90 €</t>
  </si>
  <si>
    <t>Usage structure</t>
  </si>
  <si>
    <r>
      <rPr>
        <rFont val="Arial"/>
        <color theme="1"/>
      </rPr>
      <t>90 vis acier tête demi‑ronde torx VISSAL</t>
    </r>
  </si>
  <si>
    <t>45×70</t>
  </si>
  <si>
    <t>~1,10 €</t>
  </si>
  <si>
    <t>Standard maison bois</t>
  </si>
  <si>
    <t>45×95</t>
  </si>
  <si>
    <t>Solives</t>
  </si>
  <si>
    <t>3,00–6,00</t>
  </si>
  <si>
    <t>~1,50 €</t>
  </si>
  <si>
    <t>Solivage plancher</t>
  </si>
  <si>
    <t>~2,20 €</t>
  </si>
  <si>
    <t>Charpente légère</t>
  </si>
  <si>
    <t>75×150</t>
  </si>
  <si>
    <t>Poutres</t>
  </si>
  <si>
    <t>~3,95 €</t>
  </si>
  <si>
    <t>Bois structurel</t>
  </si>
  <si>
    <t>Charpente</t>
  </si>
  <si>
    <t>4,00–6,00</t>
  </si>
  <si>
    <t>~7,00 €</t>
  </si>
  <si>
    <t>Poutre porteuse</t>
  </si>
  <si>
    <r>
      <rPr>
        <rFont val="Arial"/>
        <color theme="1"/>
      </rPr>
      <t>Sud Bois Vis pour Bois en Inox Classic 6x120 mm</t>
    </r>
  </si>
  <si>
    <r>
      <rPr>
        <rFont val="Arial"/>
        <color theme="1"/>
      </rPr>
      <t>Vis bois TX Turbodrive Premium 6x140</t>
    </r>
  </si>
  <si>
    <t xml:space="preserve">Résineux durables (Douglas) </t>
  </si>
  <si>
    <t>Prix ~ €/m linéaire (TTC)</t>
  </si>
  <si>
    <t>Source / Remarques</t>
  </si>
  <si>
    <t>38 × 150</t>
  </si>
  <si>
    <t>Solivette / petit madrier</t>
  </si>
  <si>
    <t>3,60 m – 4,50 m</t>
  </si>
  <si>
    <t>~3,80 € TTC/m</t>
  </si>
  <si>
    <r>
      <t>Arrivage Douglas sec – dimensions &amp; prix HT ~3,20 € (≈3,84 € TTC) (</t>
    </r>
    <r>
      <rPr>
        <rFont val="Arial"/>
        <color rgb="FF1155CC"/>
        <u/>
      </rPr>
      <t>Recyc'Eco</t>
    </r>
    <r>
      <rPr>
        <rFont val="Arial"/>
        <color rgb="FF1155CC"/>
        <u/>
      </rPr>
      <t>)</t>
    </r>
  </si>
  <si>
    <t>38 × 200</t>
  </si>
  <si>
    <t>Madrier charpente / coffrage</t>
  </si>
  <si>
    <t>~2,00 m</t>
  </si>
  <si>
    <t>~5,75 € TTC/m</t>
  </si>
  <si>
    <r>
      <t>Bois direct usine – madrier Douglas 38×200mm (</t>
    </r>
    <r>
      <rPr>
        <rFont val="Arial"/>
        <color rgb="FF1155CC"/>
        <u/>
      </rPr>
      <t>Bois Direct Usine</t>
    </r>
    <r>
      <rPr>
        <rFont val="Arial"/>
        <color rgb="FF1155CC"/>
        <u/>
      </rPr>
      <t>)</t>
    </r>
  </si>
  <si>
    <t>45 × 70</t>
  </si>
  <si>
    <t>3–5 m (raboté possible)</t>
  </si>
  <si>
    <t>~1,80–2,50 € TTC/m</t>
  </si>
  <si>
    <r>
      <t>Disponible chez négociants (raboté 45×70) (</t>
    </r>
    <r>
      <rPr>
        <rFont val="Arial"/>
        <color rgb="FF1155CC"/>
        <u/>
      </rPr>
      <t>UneTerrasse.com</t>
    </r>
    <r>
      <rPr>
        <rFont val="Arial"/>
        <color rgb="FF1155CC"/>
        <u/>
      </rPr>
      <t>)</t>
    </r>
  </si>
  <si>
    <t>45 × 95</t>
  </si>
  <si>
    <t>Ossature / mur MOB</t>
  </si>
  <si>
    <t>2–5,10 m</t>
  </si>
  <si>
    <t>~4,00 € TTC/m</t>
  </si>
  <si>
    <r>
      <t>Montant ossature Douglas Classe 2 (~4 €/m) (</t>
    </r>
    <r>
      <rPr>
        <rFont val="Arial"/>
        <color rgb="FF1155CC"/>
        <u/>
      </rPr>
      <t>Matériaux Naturels</t>
    </r>
    <r>
      <rPr>
        <rFont val="Arial"/>
        <color rgb="FF1155CC"/>
        <u/>
      </rPr>
      <t>)</t>
    </r>
  </si>
  <si>
    <t>45 × 120</t>
  </si>
  <si>
    <t>Ossature plus large</t>
  </si>
  <si>
    <t>~4,70–5,80 € TTC/m</t>
  </si>
  <si>
    <r>
      <t>Ossature Douglas raboté promos (</t>
    </r>
    <r>
      <rPr>
        <rFont val="Arial"/>
        <color rgb="FF1155CC"/>
        <u/>
      </rPr>
      <t>centralbois.fr</t>
    </r>
    <r>
      <rPr>
        <rFont val="Arial"/>
        <color rgb="FF1155CC"/>
        <u/>
      </rPr>
      <t>)</t>
    </r>
  </si>
  <si>
    <t>45 × 145</t>
  </si>
  <si>
    <t>Ossature / structure</t>
  </si>
  <si>
    <t>~4,90–6,25 € TTC/m</t>
  </si>
  <si>
    <r>
      <t>Raboté / promos - différents vendeurs (</t>
    </r>
    <r>
      <rPr>
        <rFont val="Arial"/>
        <color rgb="FF1155CC"/>
        <u/>
      </rPr>
      <t>centralbois.fr</t>
    </r>
    <r>
      <rPr>
        <rFont val="Arial"/>
        <color rgb="FF1155CC"/>
        <u/>
      </rPr>
      <t>)</t>
    </r>
  </si>
  <si>
    <t>45 × 220</t>
  </si>
  <si>
    <t>Gros ossature / meuble</t>
  </si>
  <si>
    <t>3–5,10 m</t>
  </si>
  <si>
    <t>~8,80 € TTC/m</t>
  </si>
  <si>
    <r>
      <t>Montant ossature Douglas Classe 2 (larges) (</t>
    </r>
    <r>
      <rPr>
        <rFont val="Arial"/>
        <color rgb="FF1155CC"/>
        <u/>
      </rPr>
      <t>Matériaux Naturels</t>
    </r>
    <r>
      <rPr>
        <rFont val="Arial"/>
        <color rgb="FF1155CC"/>
        <u/>
      </rPr>
      <t>)</t>
    </r>
  </si>
  <si>
    <t>50 × 150</t>
  </si>
  <si>
    <t>Bastaing / solive</t>
  </si>
  <si>
    <t>3–6 m</t>
  </si>
  <si>
    <t>~4,82–4,95 € TTC/m</t>
  </si>
  <si>
    <r>
      <t>Woodlife – Douglas madrier (50×150) (</t>
    </r>
    <r>
      <rPr>
        <rFont val="Arial"/>
        <color rgb="FF1155CC"/>
        <u/>
      </rPr>
      <t>woodlife-scierie.fr</t>
    </r>
    <r>
      <rPr>
        <rFont val="Arial"/>
        <color rgb="FF1155CC"/>
        <u/>
      </rPr>
      <t>)</t>
    </r>
  </si>
  <si>
    <t>63 × 175</t>
  </si>
  <si>
    <t>Solive / charpente</t>
  </si>
  <si>
    <t>~8,40–8,40 € TTC/m</t>
  </si>
  <si>
    <r>
      <t>Tambours madrier Douglas 63×175 (</t>
    </r>
    <r>
      <rPr>
        <rFont val="Arial"/>
        <color rgb="FF1155CC"/>
        <u/>
      </rPr>
      <t>woodlife-scierie.fr</t>
    </r>
    <r>
      <rPr>
        <rFont val="Arial"/>
        <color rgb="FF1155CC"/>
        <u/>
      </rPr>
      <t>)</t>
    </r>
  </si>
  <si>
    <t>75 × 200</t>
  </si>
  <si>
    <t>Poutre structurelle</t>
  </si>
  <si>
    <t>~10,24 –10,85 € TTC/m</t>
  </si>
  <si>
    <r>
      <t>Madrier Douglas 75×200 (</t>
    </r>
    <r>
      <rPr>
        <rFont val="Arial"/>
        <color rgb="FF1155CC"/>
        <u/>
      </rPr>
      <t>woodlife-scierie.fr</t>
    </r>
    <r>
      <rPr>
        <rFont val="Arial"/>
        <color rgb="FF1155CC"/>
        <u/>
      </rPr>
      <t>)</t>
    </r>
  </si>
  <si>
    <t>C24</t>
  </si>
  <si>
    <t>Poutre charpente lourde</t>
  </si>
  <si>
    <t>5–6 m</t>
  </si>
  <si>
    <t>~11,63–12,22 € TTC/m</t>
  </si>
  <si>
    <r>
      <t>Douglas madrier 75×225 (</t>
    </r>
    <r>
      <rPr>
        <rFont val="Arial"/>
        <color rgb="FF1155CC"/>
        <u/>
      </rPr>
      <t>woodlife-scierie.fr</t>
    </r>
    <r>
      <rPr>
        <rFont val="Arial"/>
        <color rgb="FF1155CC"/>
        <u/>
      </rPr>
      <t>)</t>
    </r>
  </si>
  <si>
    <t>320 × 90</t>
  </si>
  <si>
    <t>Poutre lamellé-collé</t>
  </si>
  <si>
    <t>6,00 m</t>
  </si>
  <si>
    <t>~49,82 € TTC/m</t>
  </si>
  <si>
    <r>
      <t>Poutre lamellé-collé Douglas segmentée (</t>
    </r>
    <r>
      <rPr>
        <rFont val="Arial"/>
        <color rgb="FF1155CC"/>
        <u/>
      </rPr>
      <t>Partedis Bois et Matériaux</t>
    </r>
    <r>
      <rPr>
        <rFont val="Arial"/>
        <color rgb="FF1155CC"/>
        <u/>
      </rPr>
      <t>)</t>
    </r>
  </si>
  <si>
    <t>Type de tuile</t>
  </si>
  <si>
    <t>Modèle courant (exemples)</t>
  </si>
  <si>
    <t>Tuiles / m²</t>
  </si>
  <si>
    <t>Prix ~ €/m²</t>
  </si>
  <si>
    <t>Pente mini</t>
  </si>
  <si>
    <t>Couleurs disponibles</t>
  </si>
  <si>
    <t>Marseille mécanique</t>
  </si>
  <si>
    <t>Marseille Monier, Cotto 14</t>
  </si>
  <si>
    <t>10,5 – 11,5</t>
  </si>
  <si>
    <t>22 – 35 €</t>
  </si>
  <si>
    <t>≥ 30 %</t>
  </si>
  <si>
    <t>Rouge, rosé, vieilli, brun</t>
  </si>
  <si>
    <t>PV10 / Petite moule</t>
  </si>
  <si>
    <t>PV10 Edilians</t>
  </si>
  <si>
    <t>13 – 15</t>
  </si>
  <si>
    <t>28 – 40 €</t>
  </si>
  <si>
    <t>≥ 25 %</t>
  </si>
  <si>
    <t>Rouge nuancé, flammé</t>
  </si>
  <si>
    <t>Romane mécanique</t>
  </si>
  <si>
    <t>Romane Canal Terreal</t>
  </si>
  <si>
    <t>9,5 – 11</t>
  </si>
  <si>
    <t>25 – 38 €</t>
  </si>
  <si>
    <t>Rouge, sablé, vieilli</t>
  </si>
  <si>
    <t>Canal mécanique</t>
  </si>
  <si>
    <t>Canal Midi, Languedocienne</t>
  </si>
  <si>
    <t>11 – 13</t>
  </si>
  <si>
    <t>20 – 32 €</t>
  </si>
  <si>
    <t>≥ 27 %</t>
  </si>
  <si>
    <t>Rouge, rosé, flammé</t>
  </si>
  <si>
    <t>Double canal</t>
  </si>
  <si>
    <t>DCL Terreal</t>
  </si>
  <si>
    <t>10 – 12</t>
  </si>
  <si>
    <t>30 – 45 €</t>
  </si>
  <si>
    <t>Rouge naturel, patiné</t>
  </si>
  <si>
    <t>Élément</t>
  </si>
  <si>
    <t>Prix indicatif</t>
  </si>
  <si>
    <t>Faîtière</t>
  </si>
  <si>
    <t>15 – 30 € / ml</t>
  </si>
  <si>
    <t>Rives</t>
  </si>
  <si>
    <t>8 – 15 € / pièce</t>
  </si>
  <si>
    <t>MONIER - Marseille mécanique</t>
  </si>
  <si>
    <t>Chatière</t>
  </si>
  <si>
    <t>25 – 60 €</t>
  </si>
  <si>
    <t>EDILIANS - PV10 / Petite moule</t>
  </si>
  <si>
    <t>Rencontre / arêtier</t>
  </si>
  <si>
    <t>35 – 80 €</t>
  </si>
  <si>
    <t>TERREAL - Romane mécanique</t>
  </si>
  <si>
    <t>TERREAL -  Canal mécanique, Langedocienne</t>
  </si>
  <si>
    <t>Produit / Écran HPV</t>
  </si>
  <si>
    <t>Type / Classe</t>
  </si>
  <si>
    <t>Surface (rouleau)</t>
  </si>
  <si>
    <t>Poids indicatif</t>
  </si>
  <si>
    <t>Remarques clés</t>
  </si>
  <si>
    <t>TERREAL - Double canal</t>
  </si>
  <si>
    <r>
      <rPr>
        <rFont val="Arial"/>
        <color theme="1"/>
      </rPr>
      <t>Écran sous‑toiture HPVR2 Maxi Plus 150 g/m²</t>
    </r>
  </si>
  <si>
    <t>R2 – HPV standard</t>
  </si>
  <si>
    <t>75 m² (1,5×50 m)</t>
  </si>
  <si>
    <t>~150 g/m²</t>
  </si>
  <si>
    <t>~148,50 €</t>
  </si>
  <si>
    <t>Bon compromis performance/ᵉ prix, adapté tuiles &amp; ardoises</t>
  </si>
  <si>
    <r>
      <rPr>
        <rFont val="Arial"/>
        <color theme="1"/>
      </rPr>
      <t>ARTISANMAT HPVR2 Strong 160 g/m²</t>
    </r>
  </si>
  <si>
    <t>R2 – HPV renforcé</t>
  </si>
  <si>
    <t>~160 g/m²</t>
  </si>
  <si>
    <t>~168,74 €</t>
  </si>
  <si>
    <t>Plus résistant mécaniquement (pose en conditions difficiles)</t>
  </si>
  <si>
    <t>TERREAL – Tuile plate Ardoisé 1EL</t>
  </si>
  <si>
    <r>
      <rPr>
        <rFont val="Arial"/>
        <color theme="1"/>
      </rPr>
      <t>ARTISANMAT HPVR3 Comfort 220 g/m²</t>
    </r>
  </si>
  <si>
    <t>R3 – HPV haute performance</t>
  </si>
  <si>
    <t>75 m²</t>
  </si>
  <si>
    <t>~220 g/m²</t>
  </si>
  <si>
    <t>~200,81 €</t>
  </si>
  <si>
    <t>Très haute résistance, idéal pentes faibles / conditions sévères</t>
  </si>
  <si>
    <t>TERREAL – Tuile plate Ségala 1P20</t>
  </si>
  <si>
    <r>
      <rPr>
        <rFont val="Arial"/>
        <color theme="1"/>
      </rPr>
      <t>TERREAL Écran EsTerre HPV R3</t>
    </r>
  </si>
  <si>
    <t>R3 – HPV pro</t>
  </si>
  <si>
    <t>~75 m²</t>
  </si>
  <si>
    <t>~160 g/m²*</t>
  </si>
  <si>
    <t>~276,13 €</t>
  </si>
  <si>
    <t>Version pro certifiée, pour grandes toitures &amp; faible pente</t>
  </si>
  <si>
    <t>EDILIANS – Omega 10</t>
  </si>
  <si>
    <r>
      <rPr>
        <rFont val="Arial"/>
        <color theme="1"/>
      </rPr>
      <t>STRATEC II F 75 m²</t>
    </r>
  </si>
  <si>
    <t>Expression HPV</t>
  </si>
  <si>
    <t>~91,80 €</t>
  </si>
  <si>
    <t>Polyvalent, norme EN 13859</t>
  </si>
  <si>
    <t>EDILIANS – PV10 Huguenot</t>
  </si>
  <si>
    <r>
      <rPr>
        <rFont val="Arial"/>
        <color theme="1"/>
      </rPr>
      <t>Écran HPV R2 1,50×50 m</t>
    </r>
  </si>
  <si>
    <t>R2 – HPV</t>
  </si>
  <si>
    <t>~85,90 €</t>
  </si>
  <si>
    <t>Version économique, conforme DTU</t>
  </si>
  <si>
    <t>EDILIANS – H14 (grand moule)</t>
  </si>
  <si>
    <r>
      <rPr>
        <rFont val="Arial"/>
        <color theme="1"/>
      </rPr>
      <t>QEM HPV HYGROV+ triple couches</t>
    </r>
  </si>
  <si>
    <t>HPV triple couches</t>
  </si>
  <si>
    <t>–</t>
  </si>
  <si>
    <t>~41,58 €</t>
  </si>
  <si>
    <t>Option économique pour toits ventilés</t>
  </si>
  <si>
    <t>EDILIANS – Méridionale</t>
  </si>
  <si>
    <r>
      <rPr>
        <rFont val="Arial"/>
        <color theme="1"/>
      </rPr>
      <t>QEM HPV HYGROV+ haute résistance UV</t>
    </r>
  </si>
  <si>
    <t>HPV haute résistance</t>
  </si>
  <si>
    <t>~119,99 €</t>
  </si>
  <si>
    <t>Meilleur comportement UV &amp; mécanique</t>
  </si>
  <si>
    <t>SAPIN TR CL2 - CE - C18 / BRUT DE SCIAGE 8x18 CM</t>
  </si>
  <si>
    <t>CL2/E1</t>
  </si>
  <si>
    <t>80/180</t>
  </si>
  <si>
    <t>SAPIN TR CL2 - CE - C18 / BRUT DE SCIAGE 8x11 CM</t>
  </si>
  <si>
    <t>CL2/E2</t>
  </si>
  <si>
    <t>80/110</t>
  </si>
  <si>
    <t>E30</t>
  </si>
  <si>
    <t>15/TL</t>
  </si>
  <si>
    <t>VOLIGES BNB (épicéa) MI-BOIS section 15x195mm RABOTE 1 FACE</t>
  </si>
  <si>
    <t>E31</t>
  </si>
  <si>
    <t>15/195</t>
  </si>
  <si>
    <t>KVH EPICEA ABOUTE C24 section 8X18 cm</t>
  </si>
  <si>
    <t>CONTRE-LITEAUX sapin 2X4cm ( par paquet )</t>
  </si>
  <si>
    <t>20/40</t>
  </si>
  <si>
    <t>Référence / Produit</t>
  </si>
  <si>
    <t>Marque</t>
  </si>
  <si>
    <t>Nombre au m²</t>
  </si>
  <si>
    <t>Prix unitaire</t>
  </si>
  <si>
    <t>Prix au m² estimé</t>
  </si>
  <si>
    <t>30/40</t>
  </si>
  <si>
    <t>TERREAL – DC12 Double Canal 12</t>
  </si>
  <si>
    <r>
      <t>~12 /m² (grand moule sud) (</t>
    </r>
    <r>
      <rPr>
        <rFont val="Arial"/>
        <color rgb="FF1155CC"/>
        <u/>
      </rPr>
      <t>Bricoman</t>
    </r>
    <r>
      <rPr>
        <rFont val="Arial"/>
      </rPr>
      <t>)</t>
    </r>
  </si>
  <si>
    <r>
      <t>~1,56 €/pièce (</t>
    </r>
    <r>
      <rPr>
        <rFont val="Arial"/>
        <color rgb="FF1155CC"/>
        <u/>
      </rPr>
      <t>Bricoman</t>
    </r>
    <r>
      <rPr>
        <rFont val="Arial"/>
      </rPr>
      <t>)</t>
    </r>
  </si>
  <si>
    <t>~18,7 €/m²</t>
  </si>
  <si>
    <r>
      <t>~27 /m² (</t>
    </r>
    <r>
      <rPr>
        <rFont val="Arial"/>
        <color rgb="FF1155CC"/>
        <u/>
      </rPr>
      <t>Leroy Merlin</t>
    </r>
    <r>
      <rPr>
        <rFont val="Arial"/>
      </rPr>
      <t>)</t>
    </r>
  </si>
  <si>
    <r>
      <t>~2,10 €/pièce (</t>
    </r>
    <r>
      <rPr>
        <rFont val="Arial"/>
        <color rgb="FF1155CC"/>
        <u/>
      </rPr>
      <t>Leroy Merlin</t>
    </r>
    <r>
      <rPr>
        <rFont val="Arial"/>
      </rPr>
      <t>)</t>
    </r>
  </si>
  <si>
    <t>~56,7 €/m²</t>
  </si>
  <si>
    <t>~? (standard petite tuile plate ~25 /m²)</t>
  </si>
  <si>
    <t>~990,59 € palette</t>
  </si>
  <si>
    <t>voir prix pro</t>
  </si>
  <si>
    <r>
      <t>10 /m² (</t>
    </r>
    <r>
      <rPr>
        <rFont val="Arial"/>
        <color rgb="FF1155CC"/>
        <u/>
      </rPr>
      <t>Bricoman</t>
    </r>
    <r>
      <rPr>
        <rFont val="Arial"/>
      </rPr>
      <t>)</t>
    </r>
  </si>
  <si>
    <r>
      <t>~2,93 €/pièce (</t>
    </r>
    <r>
      <rPr>
        <rFont val="Arial"/>
        <color rgb="FF1155CC"/>
        <u/>
      </rPr>
      <t>Bricoman</t>
    </r>
    <r>
      <rPr>
        <rFont val="Arial"/>
      </rPr>
      <t>)</t>
    </r>
  </si>
  <si>
    <t>~29,3 €/m²</t>
  </si>
  <si>
    <r>
      <t>10 /m² (</t>
    </r>
    <r>
      <rPr>
        <rFont val="Arial"/>
        <color rgb="FF1155CC"/>
        <u/>
      </rPr>
      <t>Bricoman</t>
    </r>
    <r>
      <rPr>
        <rFont val="Arial"/>
      </rPr>
      <t>)</t>
    </r>
  </si>
  <si>
    <r>
      <t>~2,84 €/pièce (</t>
    </r>
    <r>
      <rPr>
        <rFont val="Arial"/>
        <color rgb="FF1155CC"/>
        <u/>
      </rPr>
      <t>Bricoman</t>
    </r>
    <r>
      <rPr>
        <rFont val="Arial"/>
      </rPr>
      <t>)</t>
    </r>
  </si>
  <si>
    <t>~28,4 €/m²</t>
  </si>
  <si>
    <r>
      <t>13 /m² (</t>
    </r>
    <r>
      <rPr>
        <rFont val="Arial"/>
        <color rgb="FF1155CC"/>
        <u/>
      </rPr>
      <t>Bricoman</t>
    </r>
    <r>
      <rPr>
        <rFont val="Arial"/>
      </rPr>
      <t>)</t>
    </r>
  </si>
  <si>
    <r>
      <t>~3,05 €/pièce (</t>
    </r>
    <r>
      <rPr>
        <rFont val="Arial"/>
        <color rgb="FF1155CC"/>
        <u/>
      </rPr>
      <t>Bricoman</t>
    </r>
    <r>
      <rPr>
        <rFont val="Arial"/>
      </rPr>
      <t>)</t>
    </r>
  </si>
  <si>
    <t>~39,7 €/m²</t>
  </si>
  <si>
    <r>
      <t>13,5 /m² (</t>
    </r>
    <r>
      <rPr>
        <rFont val="Arial"/>
        <color rgb="FF1155CC"/>
        <u/>
      </rPr>
      <t>Bricoman</t>
    </r>
    <r>
      <rPr>
        <rFont val="Arial"/>
      </rPr>
      <t>)</t>
    </r>
  </si>
  <si>
    <r>
      <t>~2,15 €/pièce (</t>
    </r>
    <r>
      <rPr>
        <rFont val="Arial"/>
        <color rgb="FF1155CC"/>
        <u/>
      </rPr>
      <t>Bricoman</t>
    </r>
    <r>
      <rPr>
        <rFont val="Arial"/>
      </rPr>
      <t>)</t>
    </r>
  </si>
  <si>
    <t>~29,0 €/m²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</si>
</sst>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theme="1"/>
      <name val="Arial"/>
    </font>
    <font>
      <color theme="1"/>
      <name val="Arial"/>
    </font>
    <font>
      <i/>
      <color theme="1"/>
      <name val="Arial"/>
    </font>
    <font>
      <sz val="9.0"/>
      <color theme="1"/>
      <name val="Arial"/>
    </font>
    <font>
      <b/>
      <sz val="12.0"/>
      <color theme="1"/>
      <name val="Arial"/>
    </font>
    <font/>
    <font>
      <b/>
      <color theme="1"/>
      <name val="Arial"/>
      <scheme val="minor"/>
    </font>
    <font>
      <b/>
      <sz val="12.0"/>
      <color rgb="FF000000"/>
      <name val="Arial"/>
      <scheme val="minor"/>
    </font>
    <font>
      <color rgb="FFB45F06"/>
      <name val="Arial"/>
      <scheme val="minor"/>
    </font>
    <font>
      <color rgb="FF000000"/>
      <name val="Arial"/>
      <scheme val="minor"/>
    </font>
    <font>
      <b/>
      <i/>
      <sz val="10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</font>
    <font>
      <u/>
      <color rgb="FF1155CC"/>
      <name val="Arial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1" fillId="3" fontId="3" numFmtId="0" xfId="0" applyAlignment="1" applyBorder="1" applyFill="1" applyFont="1">
      <alignment readingOrder="0" vertical="bottom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Font="1"/>
    <xf borderId="1" fillId="3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0" fillId="2" fontId="3" numFmtId="0" xfId="0" applyAlignment="1" applyFont="1">
      <alignment shrinkToFit="0" vertical="bottom" wrapText="1"/>
    </xf>
    <xf borderId="0" fillId="2" fontId="3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4" fillId="4" fontId="6" numFmtId="0" xfId="0" applyAlignment="1" applyBorder="1" applyFill="1" applyFont="1">
      <alignment horizontal="center" shrinkToFit="0" wrapText="1"/>
    </xf>
    <xf borderId="5" fillId="0" fontId="7" numFmtId="0" xfId="0" applyBorder="1" applyFont="1"/>
    <xf borderId="6" fillId="0" fontId="4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7" fillId="0" fontId="3" numFmtId="0" xfId="0" applyAlignment="1" applyBorder="1" applyFont="1">
      <alignment horizontal="center" vertical="bottom"/>
    </xf>
    <xf borderId="8" fillId="0" fontId="4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4" fillId="2" fontId="9" numFmtId="0" xfId="0" applyAlignment="1" applyBorder="1" applyFont="1">
      <alignment horizontal="center" readingOrder="0"/>
    </xf>
    <xf borderId="4" fillId="2" fontId="9" numFmtId="0" xfId="0" applyAlignment="1" applyBorder="1" applyFont="1">
      <alignment horizontal="center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2" fontId="12" numFmtId="0" xfId="0" applyAlignment="1" applyFont="1">
      <alignment horizontal="center" readingOrder="0" vertical="center"/>
    </xf>
    <xf borderId="10" fillId="0" fontId="13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readingOrder="0"/>
    </xf>
    <xf borderId="0" fillId="0" fontId="8" numFmtId="0" xfId="0" applyAlignment="1" applyFont="1">
      <alignment horizontal="right" readingOrder="0"/>
    </xf>
    <xf borderId="0" fillId="0" fontId="8" numFmtId="0" xfId="0" applyAlignment="1" applyFont="1">
      <alignment horizontal="right" readingOrder="0" vertical="center"/>
    </xf>
    <xf borderId="0" fillId="0" fontId="3" numFmtId="0" xfId="0" applyAlignment="1" applyFont="1">
      <alignment horizontal="left" readingOrder="0" vertical="center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left" readingOrder="0" vertical="bottom"/>
    </xf>
    <xf borderId="0" fillId="0" fontId="1" numFmtId="0" xfId="0" applyAlignment="1" applyFont="1">
      <alignment horizontal="center"/>
    </xf>
    <xf borderId="10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readingOrder="0" vertical="center"/>
    </xf>
    <xf borderId="11" fillId="0" fontId="7" numFmtId="0" xfId="0" applyBorder="1" applyFont="1"/>
    <xf borderId="11" fillId="0" fontId="1" numFmtId="0" xfId="0" applyAlignment="1" applyBorder="1" applyFont="1">
      <alignment readingOrder="0"/>
    </xf>
    <xf borderId="0" fillId="0" fontId="3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  <xf borderId="0" fillId="0" fontId="3" numFmtId="0" xfId="0" applyAlignment="1" applyFont="1">
      <alignment horizontal="left" vertical="bottom"/>
    </xf>
    <xf borderId="0" fillId="5" fontId="8" numFmtId="0" xfId="0" applyAlignment="1" applyFill="1" applyFont="1">
      <alignment horizontal="right" readingOrder="0" vertical="center"/>
    </xf>
    <xf borderId="0" fillId="0" fontId="14" numFmtId="0" xfId="0" applyAlignment="1" applyFont="1">
      <alignment horizontal="right" vertical="bottom"/>
    </xf>
    <xf borderId="12" fillId="0" fontId="7" numFmtId="0" xfId="0" applyBorder="1" applyFont="1"/>
    <xf borderId="12" fillId="0" fontId="1" numFmtId="0" xfId="0" applyAlignment="1" applyBorder="1" applyFont="1">
      <alignment readingOrder="0"/>
    </xf>
    <xf borderId="10" fillId="0" fontId="1" numFmtId="0" xfId="0" applyBorder="1" applyFont="1"/>
    <xf borderId="0" fillId="0" fontId="8" numFmtId="0" xfId="0" applyAlignment="1" applyFont="1">
      <alignment horizontal="right"/>
    </xf>
    <xf borderId="0" fillId="5" fontId="1" numFmtId="0" xfId="0" applyAlignment="1" applyFont="1">
      <alignment horizontal="right" readingOrder="0" vertical="center"/>
    </xf>
    <xf borderId="10" fillId="0" fontId="1" numFmtId="0" xfId="0" applyAlignment="1" applyBorder="1" applyFont="1">
      <alignment horizontal="center" readingOrder="0" vertical="center"/>
    </xf>
    <xf borderId="11" fillId="0" fontId="1" numFmtId="0" xfId="0" applyBorder="1" applyFont="1"/>
    <xf borderId="1" fillId="0" fontId="1" numFmtId="0" xfId="0" applyBorder="1" applyFont="1"/>
    <xf borderId="11" fillId="0" fontId="1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right" readingOrder="0" vertical="center"/>
    </xf>
    <xf borderId="12" fillId="0" fontId="1" numFmtId="0" xfId="0" applyBorder="1" applyFont="1"/>
    <xf borderId="0" fillId="0" fontId="1" numFmtId="0" xfId="0" applyAlignment="1" applyFont="1">
      <alignment horizontal="right" vertical="center"/>
    </xf>
    <xf borderId="0" fillId="0" fontId="8" numFmtId="0" xfId="0" applyFont="1"/>
    <xf borderId="12" fillId="0" fontId="1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11" fillId="0" fontId="1" numFmtId="0" xfId="0" applyAlignment="1" applyBorder="1" applyFont="1">
      <alignment horizontal="left" readingOrder="0" vertical="bottom"/>
    </xf>
    <xf borderId="0" fillId="6" fontId="1" numFmtId="0" xfId="0" applyFill="1" applyFont="1"/>
    <xf borderId="0" fillId="6" fontId="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2" fontId="3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7" fontId="3" numFmtId="0" xfId="0" applyAlignment="1" applyFill="1" applyFont="1">
      <alignment vertical="bottom"/>
    </xf>
    <xf borderId="0" fillId="0" fontId="14" numFmtId="0" xfId="0" applyAlignment="1" applyFont="1">
      <alignment horizontal="center" readingOrder="0" vertical="bottom"/>
    </xf>
    <xf borderId="0" fillId="0" fontId="15" numFmtId="0" xfId="0" applyAlignment="1" applyFont="1">
      <alignment vertical="bottom"/>
    </xf>
    <xf borderId="0" fillId="0" fontId="1" numFmtId="0" xfId="0" applyAlignment="1" applyFont="1">
      <alignment horizontal="left" readingOrder="0"/>
    </xf>
    <xf borderId="0" fillId="0" fontId="16" numFmtId="0" xfId="0" applyAlignment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ricoman.fr/produits/tuile-pv10-terre-cuite-ardoise-edilians-1030960.html?utm_source=chatgpt.com" TargetMode="External"/><Relationship Id="rId22" Type="http://schemas.openxmlformats.org/officeDocument/2006/relationships/hyperlink" Target="https://www.bricoman.fr/produits/tuile-h14-terre-cuite-rouge-edilians-1028363.html?utm_source=chatgpt.com" TargetMode="External"/><Relationship Id="rId21" Type="http://schemas.openxmlformats.org/officeDocument/2006/relationships/hyperlink" Target="https://www.bricoman.fr/produits/tuile-h14-terre-cuite-rouge-edilians-1028363.html?utm_source=chatgpt.com" TargetMode="External"/><Relationship Id="rId24" Type="http://schemas.openxmlformats.org/officeDocument/2006/relationships/hyperlink" Target="https://www.bricoman.fr/produits/tuile-meridionale-terre-cuite-rouge-edilians-1098573.html?utm_source=chatgpt.com" TargetMode="External"/><Relationship Id="rId23" Type="http://schemas.openxmlformats.org/officeDocument/2006/relationships/hyperlink" Target="https://www.bricoman.fr/produits/tuile-meridionale-terre-cuite-rouge-edilians-1098573.html?utm_source=chatgpt.com" TargetMode="External"/><Relationship Id="rId1" Type="http://schemas.openxmlformats.org/officeDocument/2006/relationships/hyperlink" Target="https://recyc-eco.fr/produit/nouvel-arrivage-douglas-sec/?utm_source=chatgpt.com" TargetMode="External"/><Relationship Id="rId2" Type="http://schemas.openxmlformats.org/officeDocument/2006/relationships/hyperlink" Target="https://www.bois-direct-usine.com/bois-de-construction/madrier-et-coffrage/450-madrier-charpente-coffrage-douglas-38x200mm-l200m.html?utm_source=chatgpt.com" TargetMode="External"/><Relationship Id="rId3" Type="http://schemas.openxmlformats.org/officeDocument/2006/relationships/hyperlink" Target="https://uneterrasse.com/lambourde/1300-68555-bois-de-structure-rabot%C3%A9s-%C3%A0-la-pi%C3%A8ce-21048883?utm_source=chatgpt.com" TargetMode="External"/><Relationship Id="rId4" Type="http://schemas.openxmlformats.org/officeDocument/2006/relationships/hyperlink" Target="https://www.materiaux-naturels.fr/produit-decl/8835-montants-ossature-bois-45x95mm-douglas-classe-2-?utm_source=chatgpt.com" TargetMode="External"/><Relationship Id="rId9" Type="http://schemas.openxmlformats.org/officeDocument/2006/relationships/hyperlink" Target="https://woodlife-scierie.fr/wp-content/uploads/2024/03/tarification-bois-de-charpente-site.pdf?utm_source=chatgpt.com" TargetMode="External"/><Relationship Id="rId25" Type="http://schemas.openxmlformats.org/officeDocument/2006/relationships/drawing" Target="../drawings/drawing3.xml"/><Relationship Id="rId5" Type="http://schemas.openxmlformats.org/officeDocument/2006/relationships/hyperlink" Target="https://www.centralbois.fr/ossature/159-bois-d-ossature-douglas-45-x-95-3-m.html?utm_source=chatgpt.com" TargetMode="External"/><Relationship Id="rId6" Type="http://schemas.openxmlformats.org/officeDocument/2006/relationships/hyperlink" Target="https://www.centralbois.fr/ossature/159-bois-d-ossature-douglas-45-x-95-3-m.html?utm_source=chatgpt.com" TargetMode="External"/><Relationship Id="rId7" Type="http://schemas.openxmlformats.org/officeDocument/2006/relationships/hyperlink" Target="https://www.materiaux-naturels.fr/produit-decl/8835-montants-ossature-bois-45x95mm-douglas-classe-2-?utm_source=chatgpt.com" TargetMode="External"/><Relationship Id="rId8" Type="http://schemas.openxmlformats.org/officeDocument/2006/relationships/hyperlink" Target="https://woodlife-scierie.fr/wp-content/uploads/2024/03/tarification-bois-de-charpente-site.pdf?utm_source=chatgpt.com" TargetMode="External"/><Relationship Id="rId11" Type="http://schemas.openxmlformats.org/officeDocument/2006/relationships/hyperlink" Target="https://woodlife-scierie.fr/wp-content/uploads/2024/03/tarification-bois-de-charpente-site.pdf?utm_source=chatgpt.com" TargetMode="External"/><Relationship Id="rId10" Type="http://schemas.openxmlformats.org/officeDocument/2006/relationships/hyperlink" Target="https://woodlife-scierie.fr/wp-content/uploads/2024/03/tarification-bois-de-charpente-site.pdf?utm_source=chatgpt.com" TargetMode="External"/><Relationship Id="rId13" Type="http://schemas.openxmlformats.org/officeDocument/2006/relationships/hyperlink" Target="https://www.bricoman.fr/tuile-dble-canal-languedoc-castelviel-1297415.html?utm_source=chatgpt.com" TargetMode="External"/><Relationship Id="rId12" Type="http://schemas.openxmlformats.org/officeDocument/2006/relationships/hyperlink" Target="https://bois-materiaux.partedis.com/p/bois-de-charpente-douglas-poutre-lamelle-colle-largeur-320-mm-epaisseur-90-mm-longueur-6000-mm-1651763?utm_source=chatgpt.com" TargetMode="External"/><Relationship Id="rId15" Type="http://schemas.openxmlformats.org/officeDocument/2006/relationships/hyperlink" Target="https://www.leroymerlin.fr/produits/tuile-terreal-ardoise-1el-74019120.html?utm_source=chatgpt.com" TargetMode="External"/><Relationship Id="rId14" Type="http://schemas.openxmlformats.org/officeDocument/2006/relationships/hyperlink" Target="https://www.bricoman.fr/tuile-dble-canal-languedoc-castelviel-1297415.html?utm_source=chatgpt.com" TargetMode="External"/><Relationship Id="rId17" Type="http://schemas.openxmlformats.org/officeDocument/2006/relationships/hyperlink" Target="https://www.bricoman.fr/produits/tuile-omega-10-terre-cuite-mistral-edilians-1152256.html?utm_source=chatgpt.com" TargetMode="External"/><Relationship Id="rId16" Type="http://schemas.openxmlformats.org/officeDocument/2006/relationships/hyperlink" Target="https://www.leroymerlin.fr/produits/tuile-terreal-ardoise-1el-74019120.html?utm_source=chatgpt.com" TargetMode="External"/><Relationship Id="rId19" Type="http://schemas.openxmlformats.org/officeDocument/2006/relationships/hyperlink" Target="https://www.bricoman.fr/produits/tuile-pv10-terre-cuite-ardoise-edilians-1030960.html?utm_source=chatgpt.com" TargetMode="External"/><Relationship Id="rId18" Type="http://schemas.openxmlformats.org/officeDocument/2006/relationships/hyperlink" Target="https://www.bricoman.fr/produits/tuile-omega-10-terre-cuite-mistral-edilians-1152256.html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2.63"/>
    <col customWidth="1" min="3" max="3" width="21.13"/>
    <col customWidth="1" min="4" max="4" width="14.25"/>
    <col customWidth="1" min="5" max="5" width="19.25"/>
    <col customWidth="1" min="6" max="6" width="32.25"/>
    <col customWidth="1" min="7" max="7" width="17.63"/>
    <col customWidth="1" min="8" max="8" width="12.25"/>
    <col customWidth="1" min="9" max="9" width="13.5"/>
    <col customWidth="1" min="11" max="11" width="9.25"/>
    <col customWidth="1" min="12" max="12" width="11.88"/>
    <col customWidth="1" min="13" max="13" width="16.13"/>
    <col customWidth="1" min="16" max="16" width="15.5"/>
  </cols>
  <sheetData>
    <row r="1">
      <c r="A1" s="1" t="s">
        <v>0</v>
      </c>
      <c r="B1" s="1" t="s">
        <v>0</v>
      </c>
    </row>
    <row r="2">
      <c r="A2" s="1">
        <v>1.0</v>
      </c>
      <c r="B2" s="1">
        <v>1.1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/>
      <c r="I2" s="3"/>
      <c r="J2" s="1" t="s">
        <v>6</v>
      </c>
      <c r="K2" s="1" t="b">
        <v>0</v>
      </c>
    </row>
    <row r="3">
      <c r="A3" s="1">
        <v>1.5</v>
      </c>
      <c r="B3" s="1">
        <v>1.2</v>
      </c>
      <c r="C3" s="4" t="s">
        <v>7</v>
      </c>
      <c r="D3" s="5"/>
      <c r="E3" s="5"/>
      <c r="F3" s="6" t="s">
        <v>8</v>
      </c>
      <c r="G3" s="7"/>
      <c r="H3" s="8"/>
      <c r="I3" s="8"/>
      <c r="J3" s="1" t="s">
        <v>9</v>
      </c>
      <c r="K3" s="1" t="b">
        <v>0</v>
      </c>
    </row>
    <row r="4">
      <c r="A4" s="1">
        <v>2.0</v>
      </c>
      <c r="B4" s="1">
        <v>1.3</v>
      </c>
      <c r="C4" s="4" t="s">
        <v>10</v>
      </c>
      <c r="D4" s="5"/>
      <c r="E4" s="5"/>
      <c r="F4" s="6" t="s">
        <v>8</v>
      </c>
      <c r="G4" s="7"/>
      <c r="H4" s="8"/>
      <c r="I4" s="8"/>
      <c r="J4" s="1" t="s">
        <v>11</v>
      </c>
      <c r="K4" s="9" t="b">
        <v>0</v>
      </c>
    </row>
    <row r="5">
      <c r="A5" s="1">
        <v>2.5</v>
      </c>
      <c r="B5" s="1">
        <v>1.4</v>
      </c>
      <c r="C5" s="10"/>
      <c r="D5" s="5"/>
      <c r="E5" s="5"/>
      <c r="F5" s="11"/>
      <c r="G5" s="7"/>
      <c r="H5" s="8"/>
      <c r="I5" s="8"/>
      <c r="J5" s="1" t="s">
        <v>12</v>
      </c>
      <c r="K5" s="1" t="b">
        <v>1</v>
      </c>
    </row>
    <row r="6">
      <c r="A6" s="1">
        <v>3.0</v>
      </c>
      <c r="B6" s="1">
        <v>1.5</v>
      </c>
      <c r="C6" s="8"/>
      <c r="D6" s="8"/>
      <c r="E6" s="8"/>
      <c r="F6" s="3"/>
      <c r="G6" s="8"/>
      <c r="H6" s="8"/>
      <c r="I6" s="8"/>
      <c r="J6" s="1" t="s">
        <v>13</v>
      </c>
      <c r="K6" s="1" t="b">
        <v>1</v>
      </c>
    </row>
    <row r="7">
      <c r="A7" s="1">
        <v>3.5</v>
      </c>
      <c r="B7" s="1">
        <v>1.6</v>
      </c>
      <c r="C7" s="12" t="str">
        <f>F2</f>
        <v>CHANTIER COMMUN EN PREPA</v>
      </c>
      <c r="D7" s="13" t="str">
        <f>F3</f>
        <v>ECURIES</v>
      </c>
      <c r="E7" s="8"/>
      <c r="F7" s="3"/>
      <c r="G7" s="8"/>
      <c r="H7" s="8"/>
      <c r="I7" s="8"/>
      <c r="J7" s="1" t="s">
        <v>14</v>
      </c>
      <c r="K7" s="1" t="b">
        <v>1</v>
      </c>
    </row>
    <row r="8">
      <c r="A8" s="1">
        <v>4.0</v>
      </c>
      <c r="B8" s="1">
        <v>1.7</v>
      </c>
      <c r="C8" s="14" t="s">
        <v>15</v>
      </c>
      <c r="D8" s="14" t="s">
        <v>16</v>
      </c>
      <c r="E8" s="14" t="s">
        <v>17</v>
      </c>
      <c r="F8" s="15" t="s">
        <v>18</v>
      </c>
      <c r="G8" s="14" t="s">
        <v>19</v>
      </c>
      <c r="H8" s="14" t="s">
        <v>20</v>
      </c>
      <c r="I8" s="14" t="s">
        <v>21</v>
      </c>
      <c r="J8" s="1" t="s">
        <v>22</v>
      </c>
      <c r="K8" s="1" t="b">
        <v>1</v>
      </c>
    </row>
    <row r="9" ht="24.75" customHeight="1">
      <c r="A9" s="1">
        <v>4.5</v>
      </c>
      <c r="B9" s="1">
        <v>1.8</v>
      </c>
      <c r="C9" s="16" t="s">
        <v>23</v>
      </c>
      <c r="D9" s="16" t="s">
        <v>24</v>
      </c>
      <c r="E9" s="16">
        <v>2.0</v>
      </c>
      <c r="F9" s="17" t="s">
        <v>25</v>
      </c>
      <c r="G9" s="16" t="s">
        <v>26</v>
      </c>
      <c r="H9" s="16" t="s">
        <v>27</v>
      </c>
      <c r="I9" s="16" t="s">
        <v>28</v>
      </c>
      <c r="J9" s="1" t="s">
        <v>29</v>
      </c>
      <c r="K9" s="1" t="b">
        <v>1</v>
      </c>
    </row>
    <row r="10">
      <c r="A10" s="1">
        <v>5.0</v>
      </c>
      <c r="B10" s="1">
        <v>1.9</v>
      </c>
      <c r="C10" s="18" t="s">
        <v>30</v>
      </c>
      <c r="D10" s="19"/>
      <c r="E10" s="18" t="s">
        <v>31</v>
      </c>
      <c r="F10" s="19"/>
      <c r="G10" s="8"/>
      <c r="H10" s="8"/>
      <c r="I10" s="8"/>
      <c r="J10" s="1" t="s">
        <v>32</v>
      </c>
      <c r="K10" s="1" t="b">
        <v>1</v>
      </c>
    </row>
    <row r="11">
      <c r="A11" s="1">
        <v>5.5</v>
      </c>
      <c r="B11" s="1">
        <v>2.0</v>
      </c>
      <c r="C11" s="20" t="s">
        <v>33</v>
      </c>
      <c r="D11" s="21">
        <v>450.0</v>
      </c>
      <c r="E11" s="22" t="s">
        <v>34</v>
      </c>
      <c r="F11" s="23" t="s">
        <v>0</v>
      </c>
      <c r="G11" s="8"/>
      <c r="H11" s="8"/>
      <c r="I11" s="8"/>
      <c r="J11" s="1" t="s">
        <v>35</v>
      </c>
      <c r="K11" s="1" t="b">
        <v>1</v>
      </c>
    </row>
    <row r="12">
      <c r="A12" s="1">
        <v>6.0</v>
      </c>
      <c r="B12" s="1">
        <v>2.1</v>
      </c>
      <c r="C12" s="20" t="s">
        <v>36</v>
      </c>
      <c r="D12" s="24">
        <v>28.0</v>
      </c>
      <c r="E12" s="22" t="s">
        <v>37</v>
      </c>
      <c r="F12" s="23" t="s">
        <v>0</v>
      </c>
      <c r="G12" s="8"/>
      <c r="H12" s="8"/>
      <c r="I12" s="8"/>
      <c r="J12" s="1" t="s">
        <v>38</v>
      </c>
      <c r="K12" s="1" t="b">
        <v>1</v>
      </c>
    </row>
    <row r="13">
      <c r="A13" s="1">
        <v>6.5</v>
      </c>
      <c r="B13" s="1">
        <v>2.2</v>
      </c>
      <c r="C13" s="20" t="s">
        <v>39</v>
      </c>
      <c r="D13" s="24">
        <v>3.0</v>
      </c>
      <c r="E13" s="8"/>
      <c r="F13" s="3"/>
      <c r="G13" s="8"/>
      <c r="H13" s="8"/>
      <c r="I13" s="8"/>
      <c r="J13" s="1" t="s">
        <v>40</v>
      </c>
      <c r="K13" s="9" t="b">
        <v>0</v>
      </c>
    </row>
    <row r="14">
      <c r="A14" s="1">
        <v>7.0</v>
      </c>
      <c r="B14" s="1">
        <v>2.3</v>
      </c>
      <c r="C14" s="25" t="s">
        <v>41</v>
      </c>
      <c r="D14" s="26" t="s">
        <v>42</v>
      </c>
      <c r="E14" s="8"/>
      <c r="F14" s="3"/>
      <c r="G14" s="8"/>
      <c r="H14" s="8"/>
      <c r="I14" s="8"/>
    </row>
    <row r="15">
      <c r="A15" s="1">
        <v>7.5</v>
      </c>
      <c r="B15" s="1">
        <v>2.4</v>
      </c>
    </row>
    <row r="16">
      <c r="A16" s="1">
        <v>8.0</v>
      </c>
      <c r="B16" s="1">
        <v>2.5</v>
      </c>
      <c r="C16" s="27"/>
      <c r="D16" s="27"/>
      <c r="E16" s="27"/>
      <c r="F16" s="27"/>
      <c r="G16" s="27"/>
      <c r="H16" s="27"/>
    </row>
    <row r="17">
      <c r="A17" s="1">
        <v>8.5</v>
      </c>
      <c r="B17" s="1">
        <v>2.6</v>
      </c>
    </row>
    <row r="18">
      <c r="A18" s="1">
        <v>9.0</v>
      </c>
      <c r="B18" s="1">
        <v>2.7</v>
      </c>
      <c r="C18" s="28" t="str">
        <f>J2</f>
        <v>MOB</v>
      </c>
      <c r="D18" s="19"/>
      <c r="E18" s="29" t="str">
        <f>J3</f>
        <v>SOLIVAGE</v>
      </c>
      <c r="F18" s="19"/>
      <c r="G18" s="28" t="str">
        <f>J4</f>
        <v>CHARPENTE</v>
      </c>
      <c r="H18" s="19"/>
      <c r="I18" s="29" t="str">
        <f>J5</f>
        <v>ISOLATION</v>
      </c>
      <c r="J18" s="19"/>
      <c r="K18" s="29" t="str">
        <f>J6</f>
        <v>CHEVRONS</v>
      </c>
      <c r="L18" s="19"/>
      <c r="M18" s="29" t="str">
        <f>J7</f>
        <v>HPV</v>
      </c>
      <c r="N18" s="19"/>
      <c r="O18" s="28" t="str">
        <f>J8</f>
        <v>LATTES</v>
      </c>
      <c r="P18" s="19"/>
      <c r="Q18" s="29" t="str">
        <f>J9</f>
        <v>LITEAUX</v>
      </c>
      <c r="R18" s="19"/>
      <c r="S18" s="28" t="str">
        <f>J10</f>
        <v>TUILES</v>
      </c>
      <c r="T18" s="19"/>
      <c r="U18" s="29" t="str">
        <f>J11</f>
        <v>FAITAGE</v>
      </c>
      <c r="V18" s="19"/>
      <c r="W18" s="29" t="str">
        <f>J12</f>
        <v>ARETIERS</v>
      </c>
      <c r="X18" s="19"/>
      <c r="Y18" s="29" t="str">
        <f>J13</f>
        <v>NOUES</v>
      </c>
      <c r="Z18" s="19"/>
    </row>
    <row r="19">
      <c r="A19" s="1">
        <v>9.5</v>
      </c>
      <c r="B19" s="1">
        <v>2.8</v>
      </c>
      <c r="C19" s="1" t="s">
        <v>43</v>
      </c>
      <c r="D19" s="1" t="s">
        <v>0</v>
      </c>
      <c r="E19" s="1" t="s">
        <v>44</v>
      </c>
      <c r="F19" s="1" t="s">
        <v>0</v>
      </c>
      <c r="G19" s="30" t="s">
        <v>45</v>
      </c>
      <c r="H19" s="1" t="s">
        <v>46</v>
      </c>
      <c r="I19" s="1" t="s">
        <v>47</v>
      </c>
      <c r="J19" s="1">
        <f>D11</f>
        <v>450</v>
      </c>
      <c r="K19" s="30" t="s">
        <v>45</v>
      </c>
      <c r="L19" s="31" t="s">
        <v>48</v>
      </c>
      <c r="M19" s="1" t="s">
        <v>14</v>
      </c>
      <c r="N19" s="1" t="s">
        <v>49</v>
      </c>
      <c r="O19" s="30" t="s">
        <v>45</v>
      </c>
      <c r="P19" s="1" t="s">
        <v>50</v>
      </c>
      <c r="Q19" s="30" t="s">
        <v>45</v>
      </c>
      <c r="R19" s="1" t="s">
        <v>51</v>
      </c>
      <c r="S19" s="1" t="s">
        <v>52</v>
      </c>
      <c r="T19" s="1" t="s">
        <v>53</v>
      </c>
      <c r="U19" s="1" t="s">
        <v>54</v>
      </c>
      <c r="V19" s="1">
        <v>30.0</v>
      </c>
      <c r="W19" s="1" t="s">
        <v>54</v>
      </c>
      <c r="X19" s="1">
        <v>20.0</v>
      </c>
      <c r="Y19" s="1" t="s">
        <v>54</v>
      </c>
      <c r="Z19" s="1">
        <v>6.0</v>
      </c>
    </row>
    <row r="20">
      <c r="A20" s="1">
        <v>10.0</v>
      </c>
      <c r="B20" s="1">
        <v>2.9</v>
      </c>
      <c r="C20" s="1" t="s">
        <v>55</v>
      </c>
      <c r="D20" s="1" t="s">
        <v>0</v>
      </c>
      <c r="E20" s="1" t="s">
        <v>56</v>
      </c>
      <c r="F20" s="1" t="s">
        <v>0</v>
      </c>
      <c r="G20" s="30" t="s">
        <v>57</v>
      </c>
      <c r="H20" s="1" t="s">
        <v>58</v>
      </c>
      <c r="I20" s="1" t="s">
        <v>59</v>
      </c>
      <c r="J20" s="1" t="s">
        <v>0</v>
      </c>
      <c r="K20" s="30" t="s">
        <v>57</v>
      </c>
      <c r="L20" s="1" t="s">
        <v>0</v>
      </c>
      <c r="O20" s="30"/>
      <c r="S20" s="1" t="s">
        <v>60</v>
      </c>
      <c r="T20" s="9"/>
    </row>
    <row r="21">
      <c r="A21" s="1">
        <v>10.5</v>
      </c>
      <c r="B21" s="1">
        <v>3.0</v>
      </c>
      <c r="C21" s="1" t="s">
        <v>61</v>
      </c>
      <c r="D21" s="1" t="s">
        <v>0</v>
      </c>
      <c r="E21" s="1" t="s">
        <v>62</v>
      </c>
      <c r="F21" s="1" t="s">
        <v>0</v>
      </c>
      <c r="G21" s="30"/>
      <c r="I21" s="1" t="s">
        <v>63</v>
      </c>
      <c r="J21" s="1" t="s">
        <v>0</v>
      </c>
      <c r="K21" s="30" t="s">
        <v>64</v>
      </c>
      <c r="L21" s="1" t="s">
        <v>65</v>
      </c>
    </row>
    <row r="22">
      <c r="A22" s="1">
        <v>11.0</v>
      </c>
      <c r="B22" s="1">
        <v>3.1</v>
      </c>
      <c r="C22" s="1" t="s">
        <v>66</v>
      </c>
      <c r="D22" s="1" t="s">
        <v>0</v>
      </c>
      <c r="I22" s="1" t="s">
        <v>67</v>
      </c>
      <c r="J22" s="1" t="s">
        <v>0</v>
      </c>
    </row>
    <row r="23">
      <c r="A23" s="1">
        <v>11.5</v>
      </c>
      <c r="B23" s="1">
        <v>3.2</v>
      </c>
      <c r="C23" s="1" t="s">
        <v>68</v>
      </c>
      <c r="D23" s="1" t="s">
        <v>0</v>
      </c>
    </row>
    <row r="24">
      <c r="A24" s="1">
        <v>12.0</v>
      </c>
      <c r="B24" s="1">
        <v>3.3</v>
      </c>
      <c r="C24" s="1" t="s">
        <v>69</v>
      </c>
      <c r="D24" s="1" t="s">
        <v>0</v>
      </c>
    </row>
    <row r="25">
      <c r="A25" s="1">
        <v>12.5</v>
      </c>
      <c r="B25" s="1">
        <v>3.4</v>
      </c>
    </row>
    <row r="26">
      <c r="A26" s="1">
        <v>13.0</v>
      </c>
      <c r="B26" s="1">
        <v>3.5</v>
      </c>
      <c r="C26" s="32" t="s">
        <v>70</v>
      </c>
      <c r="E26" s="32" t="s">
        <v>71</v>
      </c>
      <c r="F26" s="32" t="s">
        <v>72</v>
      </c>
      <c r="H26" s="32" t="s">
        <v>73</v>
      </c>
      <c r="J26" s="32" t="s">
        <v>74</v>
      </c>
      <c r="K26" s="32" t="s">
        <v>75</v>
      </c>
      <c r="L26" s="32" t="s">
        <v>76</v>
      </c>
      <c r="M26" s="32" t="s">
        <v>77</v>
      </c>
      <c r="N26" s="32" t="s">
        <v>78</v>
      </c>
      <c r="O26" s="32" t="s">
        <v>79</v>
      </c>
      <c r="P26" s="32" t="s">
        <v>80</v>
      </c>
      <c r="Q26" s="32"/>
      <c r="R26" s="32"/>
    </row>
    <row r="27">
      <c r="A27" s="1">
        <v>13.5</v>
      </c>
      <c r="B27" s="1">
        <v>3.6</v>
      </c>
      <c r="C27" s="33" t="s">
        <v>6</v>
      </c>
      <c r="D27" s="34" t="str">
        <f t="shared" ref="D27:E27" si="1">C19</f>
        <v>Montants</v>
      </c>
      <c r="E27" s="35" t="str">
        <f t="shared" si="1"/>
        <v>No</v>
      </c>
      <c r="F27" s="36" t="str">
        <f>IF(D19="No","No",(F11*D13)*2.2)</f>
        <v>No</v>
      </c>
      <c r="G27" s="37" t="s">
        <v>81</v>
      </c>
      <c r="H27" s="38" t="str">
        <f>ifs(D19='Feuille 2'!C34,2.5,D19='Feuille 2'!C43,'Feuille 2'!G43,D19='Feuille 2'!C44,'Feuille 2'!G6,D19='Feuille 2'!C45,'Feuille 2'!G7,D19="No","No")</f>
        <v>No</v>
      </c>
      <c r="I27" s="39" t="s">
        <v>82</v>
      </c>
      <c r="J27" s="27">
        <v>0.15</v>
      </c>
      <c r="K27" s="1">
        <v>0.1</v>
      </c>
      <c r="L27" s="40" t="str">
        <f t="shared" ref="L27:L51" si="3">IF(F27="No","No",((H27*F27)*(1+J27))*(K27+1))</f>
        <v>No</v>
      </c>
      <c r="M27" s="41" t="str">
        <f t="shared" ref="M27:M32" si="4">IF(E27="No","No",F27/40)</f>
        <v>No</v>
      </c>
      <c r="N27" s="42">
        <f>500/7</f>
        <v>71.42857143</v>
      </c>
      <c r="O27" s="9" t="str">
        <f t="shared" ref="O27:O51" si="5">IF(L27="No","No",(L27*0.1)+(N27*M27))</f>
        <v>No</v>
      </c>
      <c r="P27" s="9" t="str">
        <f t="shared" ref="P27:P51" si="6">IF(O27="No","No",O27+L27)</f>
        <v>No</v>
      </c>
    </row>
    <row r="28">
      <c r="A28" s="1">
        <v>14.0</v>
      </c>
      <c r="B28" s="1">
        <v>3.7</v>
      </c>
      <c r="C28" s="43"/>
      <c r="D28" s="44" t="str">
        <f t="shared" ref="D28:E28" si="2">C20</f>
        <v>Lisses</v>
      </c>
      <c r="E28" s="35" t="str">
        <f t="shared" si="2"/>
        <v>No</v>
      </c>
      <c r="F28" s="36" t="str">
        <f>IF(D20="No","No",F11*2.5)</f>
        <v>No</v>
      </c>
      <c r="G28" s="37" t="s">
        <v>81</v>
      </c>
      <c r="H28" s="38" t="str">
        <f>ifs(D20='Feuille 2'!C35,2.5,D20='Feuille 2'!C44,'Feuille 2'!G44,D20='Feuille 2'!C45,'Feuille 2'!G7,D20='Feuille 2'!C46,'Feuille 2'!G8,D20="No","No")</f>
        <v>No</v>
      </c>
      <c r="I28" s="45" t="s">
        <v>82</v>
      </c>
      <c r="J28" s="27">
        <v>0.15</v>
      </c>
      <c r="K28" s="1">
        <v>0.1</v>
      </c>
      <c r="L28" s="40" t="str">
        <f t="shared" si="3"/>
        <v>No</v>
      </c>
      <c r="M28" s="41" t="str">
        <f t="shared" si="4"/>
        <v>No</v>
      </c>
      <c r="N28" s="43"/>
      <c r="O28" s="9" t="str">
        <f t="shared" si="5"/>
        <v>No</v>
      </c>
      <c r="P28" s="9" t="str">
        <f t="shared" si="6"/>
        <v>No</v>
      </c>
    </row>
    <row r="29">
      <c r="A29" s="1">
        <v>14.5</v>
      </c>
      <c r="B29" s="1">
        <v>3.8</v>
      </c>
      <c r="C29" s="43"/>
      <c r="D29" s="44" t="str">
        <f t="shared" ref="D29:E29" si="7">C21</f>
        <v>CTVT</v>
      </c>
      <c r="E29" s="35" t="str">
        <f t="shared" si="7"/>
        <v>No</v>
      </c>
      <c r="F29" s="36" t="str">
        <f>IF(F12="No","No",(F12*D13)*1.2)</f>
        <v>No</v>
      </c>
      <c r="G29" s="37" t="s">
        <v>83</v>
      </c>
      <c r="H29" s="46" t="str">
        <f>ifs(D21='Feuille 2'!A8,'Feuille 2'!G15,D21="No","No")</f>
        <v>No</v>
      </c>
      <c r="I29" s="47" t="str">
        <f t="shared" ref="I29:I47" si="9">G29</f>
        <v>/m²</v>
      </c>
      <c r="J29" s="27">
        <v>0.15</v>
      </c>
      <c r="K29" s="1">
        <v>0.1</v>
      </c>
      <c r="L29" s="40" t="str">
        <f t="shared" si="3"/>
        <v>No</v>
      </c>
      <c r="M29" s="41" t="str">
        <f t="shared" si="4"/>
        <v>No</v>
      </c>
      <c r="N29" s="43"/>
      <c r="O29" s="9" t="str">
        <f t="shared" si="5"/>
        <v>No</v>
      </c>
      <c r="P29" s="9" t="str">
        <f t="shared" si="6"/>
        <v>No</v>
      </c>
    </row>
    <row r="30">
      <c r="A30" s="1">
        <v>15.0</v>
      </c>
      <c r="B30" s="1">
        <v>3.9</v>
      </c>
      <c r="C30" s="43"/>
      <c r="D30" s="44" t="str">
        <f t="shared" ref="D30:E30" si="8">C22</f>
        <v>EAU INT</v>
      </c>
      <c r="E30" s="35" t="str">
        <f t="shared" si="8"/>
        <v>No</v>
      </c>
      <c r="F30" s="48" t="str">
        <f>IF(F12="No","No",(F12*D13)*1.2)</f>
        <v>No</v>
      </c>
      <c r="G30" s="37" t="s">
        <v>83</v>
      </c>
      <c r="H30" s="49"/>
      <c r="I30" s="47" t="str">
        <f t="shared" si="9"/>
        <v>/m²</v>
      </c>
      <c r="J30" s="27">
        <v>0.15</v>
      </c>
      <c r="K30" s="1">
        <v>0.1</v>
      </c>
      <c r="L30" s="40" t="str">
        <f t="shared" si="3"/>
        <v>No</v>
      </c>
      <c r="M30" s="41" t="str">
        <f t="shared" si="4"/>
        <v>No</v>
      </c>
      <c r="N30" s="43"/>
      <c r="O30" s="9" t="str">
        <f t="shared" si="5"/>
        <v>No</v>
      </c>
      <c r="P30" s="9" t="str">
        <f t="shared" si="6"/>
        <v>No</v>
      </c>
    </row>
    <row r="31">
      <c r="A31" s="1">
        <v>15.5</v>
      </c>
      <c r="B31" s="1">
        <v>4.0</v>
      </c>
      <c r="C31" s="43"/>
      <c r="D31" s="44" t="str">
        <f t="shared" ref="D31:E31" si="10">C23</f>
        <v>EAU EXT</v>
      </c>
      <c r="E31" s="35" t="str">
        <f t="shared" si="10"/>
        <v>No</v>
      </c>
      <c r="F31" s="48" t="str">
        <f>IF(F12="No","No",(F12*D13)*1.2)</f>
        <v>No</v>
      </c>
      <c r="G31" s="37" t="s">
        <v>83</v>
      </c>
      <c r="H31" s="49"/>
      <c r="I31" s="47" t="str">
        <f t="shared" si="9"/>
        <v>/m²</v>
      </c>
      <c r="J31" s="27">
        <v>0.15</v>
      </c>
      <c r="K31" s="1">
        <v>0.1</v>
      </c>
      <c r="L31" s="40" t="str">
        <f t="shared" si="3"/>
        <v>No</v>
      </c>
      <c r="M31" s="41" t="str">
        <f t="shared" si="4"/>
        <v>No</v>
      </c>
      <c r="N31" s="43"/>
      <c r="O31" s="9" t="str">
        <f t="shared" si="5"/>
        <v>No</v>
      </c>
      <c r="P31" s="9" t="str">
        <f t="shared" si="6"/>
        <v>No</v>
      </c>
    </row>
    <row r="32">
      <c r="A32" s="1">
        <v>16.0</v>
      </c>
      <c r="B32" s="1">
        <v>4.1</v>
      </c>
      <c r="C32" s="50"/>
      <c r="D32" s="51" t="str">
        <f t="shared" ref="D32:E32" si="11">C24</f>
        <v>Sous-Lisses</v>
      </c>
      <c r="E32" s="35" t="str">
        <f t="shared" si="11"/>
        <v>No</v>
      </c>
      <c r="F32" s="48" t="str">
        <f>IF(D24="No","No",D24*2.2)</f>
        <v>No</v>
      </c>
      <c r="G32" s="37" t="s">
        <v>81</v>
      </c>
      <c r="H32" s="49"/>
      <c r="I32" s="47" t="str">
        <f t="shared" si="9"/>
        <v>/ml</v>
      </c>
      <c r="J32" s="27">
        <v>0.15</v>
      </c>
      <c r="K32" s="1">
        <v>0.1</v>
      </c>
      <c r="L32" s="40" t="str">
        <f t="shared" si="3"/>
        <v>No</v>
      </c>
      <c r="M32" s="41" t="str">
        <f t="shared" si="4"/>
        <v>No</v>
      </c>
      <c r="N32" s="50"/>
      <c r="O32" s="9" t="str">
        <f t="shared" si="5"/>
        <v>No</v>
      </c>
      <c r="P32" s="9" t="str">
        <f t="shared" si="6"/>
        <v>No</v>
      </c>
    </row>
    <row r="33">
      <c r="A33" s="1">
        <v>16.5</v>
      </c>
      <c r="B33" s="1">
        <v>4.2</v>
      </c>
      <c r="C33" s="33" t="s">
        <v>9</v>
      </c>
      <c r="D33" s="52" t="str">
        <f t="shared" ref="D33:E33" si="12">E19</f>
        <v>PORTEUSES</v>
      </c>
      <c r="E33" s="53" t="str">
        <f t="shared" si="12"/>
        <v>No</v>
      </c>
      <c r="F33" s="54" t="s">
        <v>0</v>
      </c>
      <c r="G33" s="37" t="s">
        <v>81</v>
      </c>
      <c r="H33" s="49"/>
      <c r="I33" s="47" t="str">
        <f t="shared" si="9"/>
        <v>/ml</v>
      </c>
      <c r="J33" s="27">
        <v>0.15</v>
      </c>
      <c r="K33" s="1">
        <v>0.1</v>
      </c>
      <c r="L33" s="40" t="str">
        <f t="shared" si="3"/>
        <v>No</v>
      </c>
      <c r="M33" s="55" t="s">
        <v>0</v>
      </c>
      <c r="N33" s="52">
        <f>500/7</f>
        <v>71.42857143</v>
      </c>
      <c r="O33" s="9" t="str">
        <f t="shared" si="5"/>
        <v>No</v>
      </c>
      <c r="P33" s="9" t="str">
        <f t="shared" si="6"/>
        <v>No</v>
      </c>
    </row>
    <row r="34">
      <c r="A34" s="1">
        <v>17.0</v>
      </c>
      <c r="B34" s="1">
        <v>4.3</v>
      </c>
      <c r="C34" s="43"/>
      <c r="D34" s="56" t="str">
        <f t="shared" ref="D34:E34" si="13">E20</f>
        <v>SOLIVES</v>
      </c>
      <c r="E34" s="53" t="str">
        <f t="shared" si="13"/>
        <v>No</v>
      </c>
      <c r="F34" s="54" t="s">
        <v>0</v>
      </c>
      <c r="G34" s="37" t="s">
        <v>81</v>
      </c>
      <c r="H34" s="49"/>
      <c r="I34" s="47" t="str">
        <f t="shared" si="9"/>
        <v>/ml</v>
      </c>
      <c r="J34" s="27">
        <v>0.15</v>
      </c>
      <c r="K34" s="1">
        <v>0.1</v>
      </c>
      <c r="L34" s="40" t="str">
        <f t="shared" si="3"/>
        <v>No</v>
      </c>
      <c r="M34" s="50"/>
      <c r="N34" s="50"/>
      <c r="O34" s="9" t="str">
        <f t="shared" si="5"/>
        <v>No</v>
      </c>
      <c r="P34" s="9" t="str">
        <f t="shared" si="6"/>
        <v>No</v>
      </c>
    </row>
    <row r="35">
      <c r="A35" s="1">
        <v>17.5</v>
      </c>
      <c r="B35" s="1">
        <v>4.4</v>
      </c>
      <c r="C35" s="43"/>
      <c r="D35" s="56" t="str">
        <f t="shared" ref="D35:E35" si="14">E21</f>
        <v>PLANCHE</v>
      </c>
      <c r="E35" s="53" t="str">
        <f t="shared" si="14"/>
        <v>No</v>
      </c>
      <c r="F35" s="54" t="s">
        <v>0</v>
      </c>
      <c r="G35" s="37" t="s">
        <v>83</v>
      </c>
      <c r="H35" s="49"/>
      <c r="I35" s="47" t="str">
        <f t="shared" si="9"/>
        <v>/m²</v>
      </c>
      <c r="J35" s="27">
        <v>0.15</v>
      </c>
      <c r="K35" s="1">
        <v>0.1</v>
      </c>
      <c r="L35" s="40" t="str">
        <f t="shared" si="3"/>
        <v>No</v>
      </c>
      <c r="M35" s="55" t="s">
        <v>0</v>
      </c>
      <c r="N35" s="57">
        <f t="shared" ref="N35:N36" si="16">500/7</f>
        <v>71.42857143</v>
      </c>
      <c r="O35" s="9" t="str">
        <f t="shared" si="5"/>
        <v>No</v>
      </c>
      <c r="P35" s="9" t="str">
        <f t="shared" si="6"/>
        <v>No</v>
      </c>
    </row>
    <row r="36">
      <c r="A36" s="1">
        <v>18.0</v>
      </c>
      <c r="B36" s="1">
        <v>4.5</v>
      </c>
      <c r="C36" s="58" t="s">
        <v>11</v>
      </c>
      <c r="D36" s="56" t="str">
        <f t="shared" ref="D36:E36" si="15">G19</f>
        <v>C18</v>
      </c>
      <c r="E36" s="53" t="str">
        <f t="shared" si="15"/>
        <v>100×200</v>
      </c>
      <c r="F36" s="59" t="s">
        <v>0</v>
      </c>
      <c r="G36" s="37" t="s">
        <v>81</v>
      </c>
      <c r="H36" s="49">
        <f>ifs(E36='Feuille 2'!C38,"no",E36='Feuille 2'!C30,'Feuille 2'!G30,E36='Feuille 2'!C31,'Feuille 2'!G31,E36='Feuille 2'!C32,'Feuille 2'!G32,E36='Feuille 2'!C33,'Feuille 2'!G33,E36='Feuille 2'!C34,'Feuille 2'!G34,E36='Feuille 2'!C35,'Feuille 2'!G35,E36='Feuille 2'!C36,'Feuille 2'!G36,E36='Feuille 2'!C37,'Feuille 2'!G37)</f>
        <v>9.1</v>
      </c>
      <c r="I36" s="47" t="str">
        <f t="shared" si="9"/>
        <v>/ml</v>
      </c>
      <c r="J36" s="27">
        <v>0.15</v>
      </c>
      <c r="K36" s="1">
        <v>0.1</v>
      </c>
      <c r="L36" s="40" t="str">
        <f t="shared" si="3"/>
        <v>No</v>
      </c>
      <c r="M36" s="55">
        <v>16.0</v>
      </c>
      <c r="N36" s="52">
        <f t="shared" si="16"/>
        <v>71.42857143</v>
      </c>
      <c r="O36" s="9" t="str">
        <f t="shared" si="5"/>
        <v>No</v>
      </c>
      <c r="P36" s="9" t="str">
        <f t="shared" si="6"/>
        <v>No</v>
      </c>
    </row>
    <row r="37">
      <c r="A37" s="1">
        <v>18.5</v>
      </c>
      <c r="B37" s="1">
        <v>4.6</v>
      </c>
      <c r="C37" s="50"/>
      <c r="D37" s="60" t="str">
        <f t="shared" ref="D37:E37" si="17">G20</f>
        <v>C24/C30</v>
      </c>
      <c r="E37" s="53" t="str">
        <f t="shared" si="17"/>
        <v>75 × 225</v>
      </c>
      <c r="F37" s="59">
        <v>30.0</v>
      </c>
      <c r="G37" s="37" t="s">
        <v>81</v>
      </c>
      <c r="H37" s="49">
        <f>ifs(E37='Feuille 2'!C39,'Feuille 2'!G39,E37='Feuille 2'!C38,"No",E37='Feuille 2'!C40,'Feuille 2'!G40,E37='Feuille 2'!C41,'Feuille 2'!G41,E37='Feuille 2'!C42,'Feuille 2'!G42,E37='Feuille 2'!C43,'Feuille 2'!G43,E37='Feuille 2'!C44,'Feuille 2'!G44,E37='Feuille 2'!C45,'Feuille 2'!G45,E37='Feuille 2'!C46,'Feuille 2'!G46,E37='Feuille 2'!C47,'Feuille 2'!G47,E37='Feuille 2'!C48,'Feuille 2'!G48,E37='Feuille 2'!C49,'Feuille 2'!G49,E37='Feuille 2'!C50,'Feuille 2'!G50)</f>
        <v>15.886</v>
      </c>
      <c r="I37" s="47" t="str">
        <f t="shared" si="9"/>
        <v>/ml</v>
      </c>
      <c r="J37" s="27">
        <v>0.15</v>
      </c>
      <c r="K37" s="1">
        <v>0.1</v>
      </c>
      <c r="L37" s="40">
        <f t="shared" si="3"/>
        <v>602.8737</v>
      </c>
      <c r="M37" s="50"/>
      <c r="N37" s="50"/>
      <c r="O37" s="9">
        <f t="shared" si="5"/>
        <v>60.28737</v>
      </c>
      <c r="P37" s="9">
        <f t="shared" si="6"/>
        <v>663.16107</v>
      </c>
    </row>
    <row r="38">
      <c r="A38" s="1">
        <v>19.0</v>
      </c>
      <c r="B38" s="1">
        <v>4.7</v>
      </c>
      <c r="C38" s="33" t="s">
        <v>12</v>
      </c>
      <c r="D38" s="52" t="str">
        <f t="shared" ref="D38:E38" si="18">I19</f>
        <v>Sarking</v>
      </c>
      <c r="E38" s="53">
        <f t="shared" si="18"/>
        <v>450</v>
      </c>
      <c r="F38" s="54">
        <f>E38</f>
        <v>450</v>
      </c>
      <c r="G38" s="37" t="s">
        <v>83</v>
      </c>
      <c r="H38" s="46">
        <v>31.0</v>
      </c>
      <c r="I38" s="47" t="str">
        <f t="shared" si="9"/>
        <v>/m²</v>
      </c>
      <c r="J38" s="27">
        <v>0.15</v>
      </c>
      <c r="K38" s="1">
        <v>0.1</v>
      </c>
      <c r="L38" s="40">
        <f t="shared" si="3"/>
        <v>17646.75</v>
      </c>
      <c r="M38" s="55">
        <v>80.0</v>
      </c>
      <c r="N38" s="52">
        <f>500/7</f>
        <v>71.42857143</v>
      </c>
      <c r="O38" s="9">
        <f t="shared" si="5"/>
        <v>7478.960714</v>
      </c>
      <c r="P38" s="9">
        <f t="shared" si="6"/>
        <v>25125.71071</v>
      </c>
    </row>
    <row r="39">
      <c r="A39" s="1">
        <v>19.5</v>
      </c>
      <c r="B39" s="1">
        <v>4.8</v>
      </c>
      <c r="C39" s="43"/>
      <c r="D39" s="56" t="str">
        <f t="shared" ref="D39:E39" si="19">I20</f>
        <v>ISO ENTRE CHEVRONS</v>
      </c>
      <c r="E39" s="53" t="str">
        <f t="shared" si="19"/>
        <v>No</v>
      </c>
      <c r="F39" s="61" t="str">
        <f>IF(J20="No","No",D12*0.9)</f>
        <v>No</v>
      </c>
      <c r="G39" s="37" t="s">
        <v>83</v>
      </c>
      <c r="H39" s="62"/>
      <c r="I39" s="47" t="str">
        <f t="shared" si="9"/>
        <v>/m²</v>
      </c>
      <c r="J39" s="27">
        <v>0.15</v>
      </c>
      <c r="K39" s="1">
        <v>0.1</v>
      </c>
      <c r="L39" s="40" t="str">
        <f t="shared" si="3"/>
        <v>No</v>
      </c>
      <c r="M39" s="50"/>
      <c r="N39" s="43"/>
      <c r="O39" s="9" t="str">
        <f t="shared" si="5"/>
        <v>No</v>
      </c>
      <c r="P39" s="9" t="str">
        <f t="shared" si="6"/>
        <v>No</v>
      </c>
    </row>
    <row r="40">
      <c r="A40" s="1">
        <v>20.0</v>
      </c>
      <c r="B40" s="1">
        <v>4.9</v>
      </c>
      <c r="C40" s="43"/>
      <c r="D40" s="56" t="str">
        <f t="shared" ref="D40:E40" si="20">I21</f>
        <v>TRI-ISO</v>
      </c>
      <c r="E40" s="53" t="str">
        <f t="shared" si="20"/>
        <v>No</v>
      </c>
      <c r="F40" s="61" t="str">
        <f>IF(J21="No","No",D13*1.15)</f>
        <v>No</v>
      </c>
      <c r="G40" s="37" t="s">
        <v>83</v>
      </c>
      <c r="H40" s="53"/>
      <c r="I40" s="47" t="str">
        <f t="shared" si="9"/>
        <v>/m²</v>
      </c>
      <c r="J40" s="27">
        <v>0.15</v>
      </c>
      <c r="K40" s="1">
        <v>0.1</v>
      </c>
      <c r="L40" s="40" t="str">
        <f t="shared" si="3"/>
        <v>No</v>
      </c>
      <c r="M40" s="55" t="s">
        <v>0</v>
      </c>
      <c r="N40" s="43"/>
      <c r="O40" s="9" t="str">
        <f t="shared" si="5"/>
        <v>No</v>
      </c>
      <c r="P40" s="9" t="str">
        <f t="shared" si="6"/>
        <v>No</v>
      </c>
    </row>
    <row r="41">
      <c r="A41" s="1">
        <v>21.0</v>
      </c>
      <c r="B41" s="1">
        <v>5.0</v>
      </c>
      <c r="C41" s="50"/>
      <c r="D41" s="60" t="str">
        <f t="shared" ref="D41:E41" si="21">I22</f>
        <v>AUTRES</v>
      </c>
      <c r="E41" s="35" t="str">
        <f t="shared" si="21"/>
        <v>No</v>
      </c>
      <c r="F41" s="61" t="str">
        <f>IF(J22="No","No",D11*1.15)</f>
        <v>No</v>
      </c>
      <c r="G41" s="37" t="s">
        <v>83</v>
      </c>
      <c r="H41" s="35"/>
      <c r="I41" s="47" t="str">
        <f t="shared" si="9"/>
        <v>/m²</v>
      </c>
      <c r="J41" s="27">
        <v>0.15</v>
      </c>
      <c r="K41" s="1">
        <v>0.1</v>
      </c>
      <c r="L41" s="40" t="str">
        <f t="shared" si="3"/>
        <v>No</v>
      </c>
      <c r="M41" s="50"/>
      <c r="N41" s="50"/>
      <c r="O41" s="9" t="str">
        <f t="shared" si="5"/>
        <v>No</v>
      </c>
      <c r="P41" s="9" t="str">
        <f t="shared" si="6"/>
        <v>No</v>
      </c>
    </row>
    <row r="42">
      <c r="A42" s="1">
        <v>22.0</v>
      </c>
      <c r="B42" s="1">
        <v>5.1</v>
      </c>
      <c r="C42" s="33" t="s">
        <v>13</v>
      </c>
      <c r="D42" s="52" t="str">
        <f t="shared" ref="D42:E42" si="22">K19</f>
        <v>C18</v>
      </c>
      <c r="E42" s="53" t="str">
        <f t="shared" si="22"/>
        <v>63×100</v>
      </c>
      <c r="F42" s="59">
        <v>50.0</v>
      </c>
      <c r="G42" s="37" t="s">
        <v>81</v>
      </c>
      <c r="H42" s="53">
        <f>ifs(E42='Feuille 2'!C38,"No",E42='Feuille 2'!C34,'Feuille 2'!G34,E42='Feuille 2'!C35,'Feuille 2'!G35,E42='Feuille 2'!C36,'Feuille 2'!G36)</f>
        <v>2.86</v>
      </c>
      <c r="I42" s="47" t="str">
        <f t="shared" si="9"/>
        <v>/ml</v>
      </c>
      <c r="J42" s="27">
        <v>0.15</v>
      </c>
      <c r="K42" s="1">
        <v>0.1</v>
      </c>
      <c r="L42" s="40">
        <f t="shared" si="3"/>
        <v>180.895</v>
      </c>
      <c r="M42" s="55">
        <f>(F48/60)*4*8</f>
        <v>240</v>
      </c>
      <c r="N42" s="52">
        <f>500/7</f>
        <v>71.42857143</v>
      </c>
      <c r="O42" s="9">
        <f t="shared" si="5"/>
        <v>17160.94664</v>
      </c>
      <c r="P42" s="9">
        <f t="shared" si="6"/>
        <v>17341.84164</v>
      </c>
    </row>
    <row r="43">
      <c r="A43" s="1">
        <v>23.0</v>
      </c>
      <c r="B43" s="1">
        <v>5.2</v>
      </c>
      <c r="C43" s="50"/>
      <c r="D43" s="60" t="str">
        <f t="shared" ref="D43:E43" si="23">K20</f>
        <v>C24/C30</v>
      </c>
      <c r="E43" s="53" t="str">
        <f t="shared" si="23"/>
        <v>No</v>
      </c>
      <c r="F43" s="59" t="s">
        <v>0</v>
      </c>
      <c r="G43" s="37" t="s">
        <v>81</v>
      </c>
      <c r="H43" s="53" t="str">
        <f>ifs(E43='Feuille 2'!C42,'Feuille 2'!G42,E43='Feuille 2'!C38,"No",E43='Feuille 2'!C43,'Feuille 2'!G43,E43='Feuille 2'!C44,'Feuille 2'!G44,E43='Feuille 2'!C45,'Feuille 2'!G45)</f>
        <v>No</v>
      </c>
      <c r="I43" s="47" t="str">
        <f t="shared" si="9"/>
        <v>/ml</v>
      </c>
      <c r="J43" s="27">
        <v>0.15</v>
      </c>
      <c r="K43" s="1">
        <v>0.1</v>
      </c>
      <c r="L43" s="40" t="str">
        <f t="shared" si="3"/>
        <v>No</v>
      </c>
      <c r="M43" s="43"/>
      <c r="N43" s="50"/>
      <c r="O43" s="9" t="str">
        <f t="shared" si="5"/>
        <v>No</v>
      </c>
      <c r="P43" s="9" t="str">
        <f t="shared" si="6"/>
        <v>No</v>
      </c>
    </row>
    <row r="44">
      <c r="A44" s="1">
        <v>24.0</v>
      </c>
      <c r="B44" s="1">
        <v>5.3</v>
      </c>
      <c r="C44" s="33" t="s">
        <v>14</v>
      </c>
      <c r="D44" s="52" t="str">
        <f t="shared" ref="D44:E44" si="24">M19</f>
        <v>HPV</v>
      </c>
      <c r="E44" s="53" t="str">
        <f t="shared" si="24"/>
        <v>ECRAN R2 HPV 50/1,50M ELOS</v>
      </c>
      <c r="F44" s="61"/>
      <c r="G44" s="37" t="s">
        <v>83</v>
      </c>
      <c r="H44" s="53">
        <f>ifs(E44='Feuille 2'!A15,'Feuille 2'!G15/75,E44="No","No")</f>
        <v>1.388533333</v>
      </c>
      <c r="I44" s="47" t="str">
        <f t="shared" si="9"/>
        <v>/m²</v>
      </c>
      <c r="J44" s="27">
        <v>0.15</v>
      </c>
      <c r="K44" s="1">
        <v>0.1</v>
      </c>
      <c r="L44" s="40">
        <f t="shared" si="3"/>
        <v>0</v>
      </c>
      <c r="M44" s="43"/>
      <c r="N44" s="52">
        <f>500/7</f>
        <v>71.42857143</v>
      </c>
      <c r="O44" s="9">
        <f t="shared" si="5"/>
        <v>0</v>
      </c>
      <c r="P44" s="9">
        <f t="shared" si="6"/>
        <v>0</v>
      </c>
    </row>
    <row r="45">
      <c r="A45" s="1">
        <v>25.0</v>
      </c>
      <c r="B45" s="1">
        <v>5.4</v>
      </c>
      <c r="C45" s="58" t="s">
        <v>22</v>
      </c>
      <c r="D45" s="56" t="str">
        <f t="shared" ref="D45:E45" si="25">O19</f>
        <v>C18</v>
      </c>
      <c r="E45" s="53" t="str">
        <f t="shared" si="25"/>
        <v>18×44</v>
      </c>
      <c r="F45" s="61">
        <f>IF(P19="No","No",D11*2.5)</f>
        <v>1125</v>
      </c>
      <c r="G45" s="37" t="s">
        <v>81</v>
      </c>
      <c r="H45" s="53">
        <f>ifs(E45='Feuille 2'!C30,'Feuille 2'!G30,E45='Feuille 2'!C31,'Feuille 2'!G31,E45="No","No")</f>
        <v>0.52</v>
      </c>
      <c r="I45" s="47" t="str">
        <f t="shared" si="9"/>
        <v>/ml</v>
      </c>
      <c r="J45" s="27">
        <v>0.15</v>
      </c>
      <c r="K45" s="1">
        <v>0.1</v>
      </c>
      <c r="L45" s="40">
        <f t="shared" si="3"/>
        <v>740.025</v>
      </c>
      <c r="M45" s="43"/>
      <c r="N45" s="43"/>
      <c r="O45" s="9">
        <f t="shared" si="5"/>
        <v>74.0025</v>
      </c>
      <c r="P45" s="9">
        <f t="shared" si="6"/>
        <v>814.0275</v>
      </c>
    </row>
    <row r="46">
      <c r="A46" s="1">
        <v>26.0</v>
      </c>
      <c r="B46" s="1">
        <v>5.5</v>
      </c>
      <c r="C46" s="58" t="s">
        <v>84</v>
      </c>
      <c r="D46" s="44" t="s">
        <v>45</v>
      </c>
      <c r="E46" s="53" t="str">
        <f>L21</f>
        <v>VOLIGES 15mm TR2 TTL ( toutes largeurs )</v>
      </c>
      <c r="F46" s="59">
        <v>50.0</v>
      </c>
      <c r="G46" s="37" t="s">
        <v>83</v>
      </c>
      <c r="H46" s="53">
        <f>ifs(E46='Feuille 2'!A67,'Feuille 2'!G67,E46='Feuille 2'!A68,'Feuille 2'!G68,E46="No","No")</f>
        <v>6.435</v>
      </c>
      <c r="I46" s="47" t="str">
        <f t="shared" si="9"/>
        <v>/m²</v>
      </c>
      <c r="J46" s="27">
        <v>0.15</v>
      </c>
      <c r="K46" s="1">
        <v>0.1</v>
      </c>
      <c r="L46" s="40">
        <f t="shared" si="3"/>
        <v>407.01375</v>
      </c>
      <c r="M46" s="43"/>
      <c r="N46" s="43"/>
      <c r="O46" s="9">
        <f t="shared" si="5"/>
        <v>40.701375</v>
      </c>
      <c r="P46" s="9">
        <f t="shared" si="6"/>
        <v>447.715125</v>
      </c>
    </row>
    <row r="47">
      <c r="A47" s="1">
        <v>27.0</v>
      </c>
      <c r="B47" s="1">
        <v>5.6</v>
      </c>
      <c r="C47" s="63" t="s">
        <v>29</v>
      </c>
      <c r="D47" s="60" t="str">
        <f t="shared" ref="D47:E47" si="26">Q19</f>
        <v>C18</v>
      </c>
      <c r="E47" s="53" t="str">
        <f t="shared" si="26"/>
        <v>LITEAUX sapin 3X4cm</v>
      </c>
      <c r="F47" s="61">
        <f>IF(P20="No","No",D11*3.3)</f>
        <v>1485</v>
      </c>
      <c r="G47" s="37" t="s">
        <v>81</v>
      </c>
      <c r="H47" s="53">
        <f>ifs(E47='Feuille 2'!A71,'Feuille 2'!G71,E47="No","No")</f>
        <v>0.624</v>
      </c>
      <c r="I47" s="47" t="str">
        <f t="shared" si="9"/>
        <v>/ml</v>
      </c>
      <c r="J47" s="27">
        <v>0.15</v>
      </c>
      <c r="K47" s="1">
        <v>0.1</v>
      </c>
      <c r="L47" s="40">
        <f t="shared" si="3"/>
        <v>1172.1996</v>
      </c>
      <c r="M47" s="43"/>
      <c r="N47" s="50"/>
      <c r="O47" s="9">
        <f t="shared" si="5"/>
        <v>117.21996</v>
      </c>
      <c r="P47" s="9">
        <f t="shared" si="6"/>
        <v>1289.41956</v>
      </c>
    </row>
    <row r="48">
      <c r="A48" s="1">
        <v>28.0</v>
      </c>
      <c r="B48" s="1">
        <v>5.7</v>
      </c>
      <c r="C48" s="33" t="s">
        <v>32</v>
      </c>
      <c r="D48" s="52" t="str">
        <f t="shared" ref="D48:E48" si="27">S19</f>
        <v>TERREAL</v>
      </c>
      <c r="E48" s="53" t="str">
        <f t="shared" si="27"/>
        <v>TERREAL - DC12 Double Canal 12</v>
      </c>
      <c r="F48" s="61">
        <f>D11</f>
        <v>450</v>
      </c>
      <c r="G48" s="64" t="s">
        <v>85</v>
      </c>
      <c r="H48" s="35">
        <v>18.0</v>
      </c>
      <c r="I48" s="45" t="s">
        <v>83</v>
      </c>
      <c r="J48" s="27">
        <v>0.15</v>
      </c>
      <c r="K48" s="1">
        <v>0.1</v>
      </c>
      <c r="L48" s="40">
        <f t="shared" si="3"/>
        <v>10246.5</v>
      </c>
      <c r="M48" s="43"/>
      <c r="N48" s="57">
        <f t="shared" ref="N48:N51" si="28">500/7</f>
        <v>71.42857143</v>
      </c>
      <c r="O48" s="9">
        <f t="shared" si="5"/>
        <v>1024.65</v>
      </c>
      <c r="P48" s="9">
        <f t="shared" si="6"/>
        <v>11271.15</v>
      </c>
    </row>
    <row r="49">
      <c r="A49" s="1">
        <v>29.0</v>
      </c>
      <c r="B49" s="1">
        <v>5.8</v>
      </c>
      <c r="C49" s="58" t="s">
        <v>35</v>
      </c>
      <c r="D49" s="65" t="str">
        <f t="shared" ref="D49:D51" si="29">D48</f>
        <v>TERREAL</v>
      </c>
      <c r="E49" s="53">
        <f>V19</f>
        <v>30</v>
      </c>
      <c r="F49" s="61">
        <f t="shared" ref="F49:F51" si="30">E49</f>
        <v>30</v>
      </c>
      <c r="G49" s="64" t="s">
        <v>82</v>
      </c>
      <c r="H49" s="35">
        <v>16.0</v>
      </c>
      <c r="I49" s="45" t="s">
        <v>81</v>
      </c>
      <c r="J49" s="27">
        <v>0.15</v>
      </c>
      <c r="K49" s="1">
        <v>0.1</v>
      </c>
      <c r="L49" s="40">
        <f t="shared" si="3"/>
        <v>607.2</v>
      </c>
      <c r="M49" s="43"/>
      <c r="N49" s="57">
        <f t="shared" si="28"/>
        <v>71.42857143</v>
      </c>
      <c r="O49" s="9">
        <f t="shared" si="5"/>
        <v>60.72</v>
      </c>
      <c r="P49" s="9">
        <f t="shared" si="6"/>
        <v>667.92</v>
      </c>
    </row>
    <row r="50">
      <c r="A50" s="1">
        <v>30.0</v>
      </c>
      <c r="B50" s="1">
        <v>5.9</v>
      </c>
      <c r="C50" s="58" t="s">
        <v>38</v>
      </c>
      <c r="D50" s="56" t="str">
        <f t="shared" si="29"/>
        <v>TERREAL</v>
      </c>
      <c r="E50" s="53">
        <f>X19</f>
        <v>20</v>
      </c>
      <c r="F50" s="61">
        <f t="shared" si="30"/>
        <v>20</v>
      </c>
      <c r="G50" s="64" t="s">
        <v>82</v>
      </c>
      <c r="H50" s="35">
        <v>18.0</v>
      </c>
      <c r="I50" s="45" t="s">
        <v>81</v>
      </c>
      <c r="J50" s="27">
        <v>0.15</v>
      </c>
      <c r="K50" s="1">
        <v>0.1</v>
      </c>
      <c r="L50" s="40">
        <f t="shared" si="3"/>
        <v>455.4</v>
      </c>
      <c r="M50" s="43"/>
      <c r="N50" s="57">
        <f t="shared" si="28"/>
        <v>71.42857143</v>
      </c>
      <c r="O50" s="9">
        <f t="shared" si="5"/>
        <v>45.54</v>
      </c>
      <c r="P50" s="9">
        <f t="shared" si="6"/>
        <v>500.94</v>
      </c>
    </row>
    <row r="51">
      <c r="A51" s="1">
        <v>31.0</v>
      </c>
      <c r="B51" s="1">
        <v>6.0</v>
      </c>
      <c r="C51" s="63" t="s">
        <v>40</v>
      </c>
      <c r="D51" s="60" t="str">
        <f t="shared" si="29"/>
        <v>TERREAL</v>
      </c>
      <c r="E51" s="53">
        <f>Z19</f>
        <v>6</v>
      </c>
      <c r="F51" s="61">
        <f t="shared" si="30"/>
        <v>6</v>
      </c>
      <c r="G51" s="64" t="s">
        <v>82</v>
      </c>
      <c r="H51" s="35">
        <v>40.0</v>
      </c>
      <c r="I51" s="45" t="s">
        <v>81</v>
      </c>
      <c r="J51" s="27">
        <v>0.15</v>
      </c>
      <c r="K51" s="1">
        <v>0.1</v>
      </c>
      <c r="L51" s="40">
        <f t="shared" si="3"/>
        <v>303.6</v>
      </c>
      <c r="M51" s="50"/>
      <c r="N51" s="57">
        <f t="shared" si="28"/>
        <v>71.42857143</v>
      </c>
      <c r="O51" s="9">
        <f t="shared" si="5"/>
        <v>30.36</v>
      </c>
      <c r="P51" s="9">
        <f t="shared" si="6"/>
        <v>333.96</v>
      </c>
    </row>
    <row r="52">
      <c r="A52" s="1">
        <v>32.0</v>
      </c>
      <c r="B52" s="1">
        <v>6.1</v>
      </c>
      <c r="L52" s="66">
        <f>SUM(L27:L51)</f>
        <v>32362.45705</v>
      </c>
      <c r="M52" s="66">
        <f>(SUM(M27:M51))/8</f>
        <v>42</v>
      </c>
      <c r="N52" s="67" t="s">
        <v>86</v>
      </c>
      <c r="O52" s="66">
        <f t="shared" ref="O52:P52" si="31">SUM(O27:O51)</f>
        <v>26093.38856</v>
      </c>
      <c r="P52" s="66">
        <f t="shared" si="31"/>
        <v>58455.84561</v>
      </c>
      <c r="Q52" s="66">
        <f>P52/F48</f>
        <v>129.9018791</v>
      </c>
      <c r="R52" s="67" t="s">
        <v>83</v>
      </c>
    </row>
    <row r="53">
      <c r="A53" s="1">
        <v>33.0</v>
      </c>
      <c r="B53" s="1">
        <v>6.2</v>
      </c>
      <c r="L53" s="66"/>
      <c r="M53" s="66">
        <f>M52/5</f>
        <v>8.4</v>
      </c>
      <c r="N53" s="67" t="s">
        <v>87</v>
      </c>
      <c r="O53" s="66"/>
      <c r="P53" s="66"/>
      <c r="Q53" s="66"/>
      <c r="R53" s="66"/>
    </row>
    <row r="54">
      <c r="A54" s="1">
        <v>34.0</v>
      </c>
      <c r="B54" s="1">
        <v>6.3</v>
      </c>
    </row>
    <row r="55">
      <c r="A55" s="1">
        <v>35.0</v>
      </c>
      <c r="B55" s="1">
        <v>6.4</v>
      </c>
      <c r="C55" s="27"/>
      <c r="D55" s="27"/>
      <c r="E55" s="27"/>
      <c r="F55" s="27"/>
      <c r="G55" s="27"/>
      <c r="H55" s="27"/>
    </row>
    <row r="56">
      <c r="A56" s="1">
        <v>36.0</v>
      </c>
      <c r="B56" s="1">
        <v>6.5</v>
      </c>
      <c r="C56" s="68"/>
    </row>
    <row r="57">
      <c r="A57" s="1">
        <v>37.0</v>
      </c>
      <c r="B57" s="1">
        <v>6.6</v>
      </c>
      <c r="C57" s="68"/>
    </row>
    <row r="58">
      <c r="A58" s="1">
        <v>38.0</v>
      </c>
      <c r="B58" s="1">
        <v>6.7</v>
      </c>
      <c r="C58" s="68"/>
    </row>
    <row r="59">
      <c r="A59" s="1">
        <v>39.0</v>
      </c>
      <c r="B59" s="1">
        <v>6.8</v>
      </c>
      <c r="C59" s="68"/>
    </row>
    <row r="60">
      <c r="A60" s="1">
        <v>40.0</v>
      </c>
      <c r="B60" s="1">
        <v>6.9</v>
      </c>
      <c r="C60" s="68"/>
    </row>
    <row r="61">
      <c r="A61" s="1">
        <v>41.0</v>
      </c>
      <c r="B61" s="1">
        <v>7.0</v>
      </c>
      <c r="C61" s="68"/>
    </row>
    <row r="62">
      <c r="A62" s="1">
        <v>42.0</v>
      </c>
      <c r="B62" s="1">
        <v>7.1</v>
      </c>
      <c r="C62" s="68"/>
    </row>
    <row r="63">
      <c r="A63" s="1">
        <v>43.0</v>
      </c>
      <c r="B63" s="1">
        <v>7.2</v>
      </c>
      <c r="C63" s="68"/>
    </row>
    <row r="64">
      <c r="A64" s="1">
        <v>44.0</v>
      </c>
      <c r="B64" s="1">
        <v>7.3</v>
      </c>
    </row>
    <row r="65">
      <c r="A65" s="1">
        <v>45.0</v>
      </c>
      <c r="B65" s="1">
        <v>7.4</v>
      </c>
    </row>
    <row r="66">
      <c r="A66" s="1">
        <v>46.0</v>
      </c>
      <c r="B66" s="1">
        <v>7.5</v>
      </c>
    </row>
    <row r="67">
      <c r="A67" s="1">
        <v>47.0</v>
      </c>
      <c r="B67" s="1">
        <v>7.6</v>
      </c>
    </row>
    <row r="68">
      <c r="A68" s="1">
        <v>48.0</v>
      </c>
      <c r="B68" s="1">
        <v>7.7</v>
      </c>
    </row>
    <row r="69">
      <c r="A69" s="1">
        <v>49.0</v>
      </c>
      <c r="B69" s="1">
        <v>7.8</v>
      </c>
    </row>
    <row r="70">
      <c r="A70" s="1">
        <v>50.0</v>
      </c>
      <c r="B70" s="1">
        <v>7.9</v>
      </c>
    </row>
    <row r="71">
      <c r="A71" s="1">
        <v>51.0</v>
      </c>
      <c r="B71" s="1">
        <v>8.0</v>
      </c>
    </row>
    <row r="72">
      <c r="A72" s="1"/>
      <c r="B72" s="1">
        <v>8.1</v>
      </c>
    </row>
    <row r="73">
      <c r="A73" s="1"/>
      <c r="B73" s="1">
        <v>8.2</v>
      </c>
    </row>
    <row r="74">
      <c r="A74" s="1"/>
      <c r="B74" s="1">
        <v>8.3</v>
      </c>
    </row>
    <row r="75">
      <c r="A75" s="1"/>
      <c r="B75" s="1">
        <v>8.4</v>
      </c>
    </row>
    <row r="76">
      <c r="A76" s="1"/>
      <c r="B76" s="1">
        <v>8.5</v>
      </c>
    </row>
    <row r="77">
      <c r="A77" s="1"/>
      <c r="B77" s="1">
        <v>8.6</v>
      </c>
    </row>
    <row r="78">
      <c r="A78" s="1"/>
      <c r="B78" s="1">
        <v>8.7</v>
      </c>
    </row>
    <row r="79">
      <c r="A79" s="1"/>
      <c r="B79" s="1">
        <v>8.8</v>
      </c>
    </row>
    <row r="80">
      <c r="A80" s="1"/>
      <c r="B80" s="1">
        <v>8.9</v>
      </c>
    </row>
    <row r="81">
      <c r="A81" s="1"/>
      <c r="B81" s="1">
        <v>9.0</v>
      </c>
    </row>
    <row r="82">
      <c r="A82" s="1"/>
      <c r="B82" s="1">
        <v>9.1</v>
      </c>
    </row>
    <row r="83">
      <c r="A83" s="1"/>
      <c r="B83" s="1">
        <v>9.2</v>
      </c>
    </row>
    <row r="84">
      <c r="A84" s="1"/>
      <c r="B84" s="1">
        <v>9.3</v>
      </c>
    </row>
    <row r="85">
      <c r="A85" s="1"/>
      <c r="B85" s="1">
        <v>9.4</v>
      </c>
    </row>
    <row r="86">
      <c r="A86" s="1"/>
      <c r="B86" s="1">
        <v>9.5</v>
      </c>
    </row>
    <row r="87">
      <c r="A87" s="1"/>
      <c r="B87" s="1">
        <v>9.6</v>
      </c>
    </row>
    <row r="88">
      <c r="A88" s="1"/>
      <c r="B88" s="1">
        <v>9.7</v>
      </c>
    </row>
    <row r="89">
      <c r="A89" s="1"/>
      <c r="B89" s="1">
        <v>9.8</v>
      </c>
    </row>
    <row r="90">
      <c r="A90" s="1"/>
      <c r="B90" s="1">
        <v>9.9</v>
      </c>
    </row>
    <row r="91">
      <c r="A91" s="1"/>
      <c r="B91" s="1">
        <v>10.0</v>
      </c>
    </row>
    <row r="92">
      <c r="A92" s="1"/>
      <c r="B92" s="1">
        <v>10.1</v>
      </c>
    </row>
    <row r="93">
      <c r="A93" s="1"/>
      <c r="B93" s="1">
        <v>10.2</v>
      </c>
    </row>
    <row r="94">
      <c r="A94" s="1"/>
      <c r="B94" s="1">
        <v>10.3</v>
      </c>
    </row>
    <row r="95">
      <c r="A95" s="1"/>
      <c r="B95" s="1">
        <v>10.4</v>
      </c>
    </row>
    <row r="96">
      <c r="A96" s="1"/>
      <c r="B96" s="1">
        <v>10.5</v>
      </c>
    </row>
    <row r="97">
      <c r="A97" s="1"/>
      <c r="B97" s="1">
        <v>10.6</v>
      </c>
    </row>
    <row r="98">
      <c r="A98" s="1"/>
      <c r="B98" s="1">
        <v>10.7</v>
      </c>
    </row>
    <row r="99">
      <c r="A99" s="1"/>
      <c r="B99" s="1">
        <v>10.8</v>
      </c>
    </row>
    <row r="100">
      <c r="A100" s="1"/>
      <c r="B100" s="1">
        <v>10.9</v>
      </c>
    </row>
    <row r="101">
      <c r="A101" s="1"/>
      <c r="B101" s="1">
        <v>11.0</v>
      </c>
    </row>
    <row r="102">
      <c r="A102" s="1"/>
      <c r="B102" s="1">
        <v>11.1</v>
      </c>
    </row>
    <row r="103">
      <c r="A103" s="1"/>
      <c r="B103" s="1">
        <v>11.2</v>
      </c>
    </row>
    <row r="104">
      <c r="A104" s="1"/>
      <c r="B104" s="1">
        <v>11.3</v>
      </c>
    </row>
    <row r="105">
      <c r="A105" s="1"/>
      <c r="B105" s="1">
        <v>11.4</v>
      </c>
    </row>
    <row r="106">
      <c r="A106" s="1"/>
      <c r="B106" s="1">
        <v>11.5</v>
      </c>
    </row>
    <row r="107">
      <c r="A107" s="1"/>
      <c r="B107" s="1">
        <v>11.6</v>
      </c>
    </row>
    <row r="108">
      <c r="A108" s="1"/>
      <c r="B108" s="1">
        <v>11.7</v>
      </c>
    </row>
    <row r="109">
      <c r="A109" s="1"/>
      <c r="B109" s="1">
        <v>11.8</v>
      </c>
    </row>
    <row r="110">
      <c r="A110" s="1"/>
      <c r="B110" s="1">
        <v>11.9</v>
      </c>
    </row>
    <row r="111">
      <c r="A111" s="1"/>
      <c r="B111" s="1">
        <v>12.0</v>
      </c>
    </row>
    <row r="112">
      <c r="A112" s="1"/>
      <c r="B112" s="1">
        <v>12.1</v>
      </c>
    </row>
    <row r="113">
      <c r="A113" s="1"/>
      <c r="B113" s="1">
        <v>12.2</v>
      </c>
    </row>
    <row r="114">
      <c r="A114" s="1"/>
      <c r="B114" s="1">
        <v>12.3</v>
      </c>
    </row>
    <row r="115">
      <c r="A115" s="1"/>
      <c r="B115" s="1">
        <v>12.4</v>
      </c>
    </row>
    <row r="116">
      <c r="A116" s="1"/>
      <c r="B116" s="1">
        <v>12.5</v>
      </c>
    </row>
    <row r="117">
      <c r="A117" s="1"/>
      <c r="B117" s="1">
        <v>12.6</v>
      </c>
    </row>
    <row r="118">
      <c r="A118" s="1"/>
      <c r="B118" s="1">
        <v>12.7</v>
      </c>
    </row>
    <row r="119">
      <c r="A119" s="1"/>
      <c r="B119" s="1">
        <v>12.8</v>
      </c>
    </row>
    <row r="120">
      <c r="A120" s="1"/>
      <c r="B120" s="1">
        <v>12.9</v>
      </c>
    </row>
    <row r="121">
      <c r="A121" s="1"/>
      <c r="B121" s="1">
        <v>13.0</v>
      </c>
    </row>
    <row r="122">
      <c r="A122" s="1"/>
      <c r="B122" s="1">
        <v>13.1</v>
      </c>
    </row>
    <row r="123">
      <c r="A123" s="1"/>
      <c r="B123" s="1">
        <v>13.2</v>
      </c>
    </row>
    <row r="124">
      <c r="A124" s="1"/>
      <c r="B124" s="1">
        <v>13.3</v>
      </c>
    </row>
    <row r="125">
      <c r="A125" s="1"/>
      <c r="B125" s="1">
        <v>13.4</v>
      </c>
    </row>
    <row r="126">
      <c r="A126" s="1"/>
      <c r="B126" s="1">
        <v>13.5</v>
      </c>
    </row>
    <row r="127">
      <c r="A127" s="1"/>
      <c r="B127" s="1">
        <v>13.6</v>
      </c>
    </row>
    <row r="128">
      <c r="A128" s="1"/>
      <c r="B128" s="1">
        <v>13.7</v>
      </c>
    </row>
    <row r="129">
      <c r="A129" s="1"/>
      <c r="B129" s="1">
        <v>13.8</v>
      </c>
    </row>
    <row r="130">
      <c r="A130" s="1"/>
      <c r="B130" s="1">
        <v>13.9</v>
      </c>
    </row>
    <row r="131">
      <c r="A131" s="1"/>
      <c r="B131" s="1">
        <v>14.0</v>
      </c>
    </row>
    <row r="132">
      <c r="A132" s="1"/>
      <c r="B132" s="1">
        <v>14.1</v>
      </c>
    </row>
    <row r="133">
      <c r="A133" s="1"/>
      <c r="B133" s="1">
        <v>14.2</v>
      </c>
    </row>
    <row r="134">
      <c r="A134" s="1"/>
      <c r="B134" s="1">
        <v>14.3</v>
      </c>
    </row>
    <row r="135">
      <c r="A135" s="1"/>
      <c r="B135" s="1">
        <v>14.4</v>
      </c>
    </row>
    <row r="136">
      <c r="A136" s="1"/>
      <c r="B136" s="1">
        <v>14.5</v>
      </c>
    </row>
    <row r="137">
      <c r="A137" s="1"/>
      <c r="B137" s="1">
        <v>14.6</v>
      </c>
    </row>
    <row r="138">
      <c r="A138" s="1"/>
      <c r="B138" s="1">
        <v>14.7</v>
      </c>
    </row>
    <row r="139">
      <c r="A139" s="1"/>
      <c r="B139" s="1">
        <v>14.8</v>
      </c>
    </row>
    <row r="140">
      <c r="A140" s="1"/>
      <c r="B140" s="1">
        <v>14.9</v>
      </c>
    </row>
    <row r="141">
      <c r="A141" s="1"/>
      <c r="B141" s="1">
        <v>15.0</v>
      </c>
    </row>
    <row r="142">
      <c r="A142" s="1"/>
      <c r="B142" s="1">
        <v>15.1</v>
      </c>
    </row>
    <row r="143">
      <c r="A143" s="1"/>
      <c r="B143" s="1">
        <v>15.2</v>
      </c>
    </row>
    <row r="144">
      <c r="A144" s="1"/>
      <c r="B144" s="1">
        <v>15.3</v>
      </c>
    </row>
    <row r="145">
      <c r="A145" s="1"/>
      <c r="B145" s="1">
        <v>15.4</v>
      </c>
    </row>
    <row r="146">
      <c r="A146" s="1"/>
      <c r="B146" s="1">
        <v>15.5</v>
      </c>
    </row>
    <row r="147">
      <c r="A147" s="1"/>
      <c r="B147" s="1">
        <v>15.6</v>
      </c>
    </row>
    <row r="148">
      <c r="A148" s="1"/>
      <c r="B148" s="1">
        <v>15.7</v>
      </c>
    </row>
    <row r="149">
      <c r="A149" s="1"/>
      <c r="B149" s="1">
        <v>15.8</v>
      </c>
    </row>
    <row r="150">
      <c r="A150" s="1"/>
      <c r="B150" s="1">
        <v>15.9</v>
      </c>
    </row>
    <row r="151">
      <c r="A151" s="1"/>
      <c r="B151" s="1">
        <v>16.0</v>
      </c>
    </row>
    <row r="152">
      <c r="A152" s="1"/>
      <c r="B152" s="1">
        <v>16.1</v>
      </c>
    </row>
    <row r="153">
      <c r="A153" s="1"/>
      <c r="B153" s="1">
        <v>16.2</v>
      </c>
    </row>
    <row r="154">
      <c r="A154" s="1"/>
      <c r="B154" s="1">
        <v>16.3</v>
      </c>
    </row>
    <row r="155">
      <c r="A155" s="1"/>
      <c r="B155" s="1">
        <v>16.4</v>
      </c>
    </row>
    <row r="156">
      <c r="A156" s="1"/>
      <c r="B156" s="1">
        <v>16.5</v>
      </c>
    </row>
    <row r="157">
      <c r="A157" s="1"/>
      <c r="B157" s="1">
        <v>16.6</v>
      </c>
    </row>
    <row r="158">
      <c r="A158" s="1"/>
      <c r="B158" s="1">
        <v>16.7</v>
      </c>
    </row>
    <row r="159">
      <c r="A159" s="1"/>
      <c r="B159" s="1">
        <v>16.8</v>
      </c>
    </row>
  </sheetData>
  <mergeCells count="33">
    <mergeCell ref="M18:N18"/>
    <mergeCell ref="O18:P18"/>
    <mergeCell ref="Q18:R18"/>
    <mergeCell ref="S18:T18"/>
    <mergeCell ref="U18:V18"/>
    <mergeCell ref="W18:X18"/>
    <mergeCell ref="Y18:Z18"/>
    <mergeCell ref="C10:D10"/>
    <mergeCell ref="E10:F10"/>
    <mergeCell ref="C18:D18"/>
    <mergeCell ref="E18:F18"/>
    <mergeCell ref="G18:H18"/>
    <mergeCell ref="I18:J18"/>
    <mergeCell ref="K18:L18"/>
    <mergeCell ref="C33:C35"/>
    <mergeCell ref="C36:C37"/>
    <mergeCell ref="C38:C41"/>
    <mergeCell ref="C42:C43"/>
    <mergeCell ref="C26:D26"/>
    <mergeCell ref="F26:G26"/>
    <mergeCell ref="H26:I26"/>
    <mergeCell ref="C27:C32"/>
    <mergeCell ref="N27:N32"/>
    <mergeCell ref="M33:M34"/>
    <mergeCell ref="N33:N34"/>
    <mergeCell ref="M38:M39"/>
    <mergeCell ref="M40:M41"/>
    <mergeCell ref="M36:M37"/>
    <mergeCell ref="N36:N37"/>
    <mergeCell ref="N38:N41"/>
    <mergeCell ref="N42:N43"/>
    <mergeCell ref="N44:N47"/>
    <mergeCell ref="M42:M51"/>
  </mergeCells>
  <conditionalFormatting sqref="C18:D24">
    <cfRule type="cellIs" dxfId="0" priority="1" operator="equal">
      <formula>IF(K2="FAUX")</formula>
    </cfRule>
  </conditionalFormatting>
  <dataValidations>
    <dataValidation type="list" allowBlank="1" showErrorMessage="1" sqref="L19">
      <formula1>"45×95,63×100,75×150,No"</formula1>
    </dataValidation>
    <dataValidation type="list" allowBlank="1" showErrorMessage="1" sqref="M33 M35:M36 M38 M40">
      <formula1>"No,8,12,16,24,32,40,48,64,72,80,88"</formula1>
    </dataValidation>
    <dataValidation type="list" allowBlank="1" showErrorMessage="1" sqref="D11">
      <formula1>"10,20,30,40,50,60,70,80,90,100,110,120,130,140,150,160,170,200,210,220,230,240,250,260,270,280,290,300,450"</formula1>
    </dataValidation>
    <dataValidation type="list" allowBlank="1" showErrorMessage="1" sqref="D12">
      <formula1>"18,19,20,21,22,23,24,25,26,27,28,29,30,31,32,33,34,35,36,37,38,39,40,&gt;40"</formula1>
    </dataValidation>
    <dataValidation type="list" allowBlank="1" showErrorMessage="1" sqref="D13">
      <formula1>'Feuille 1'!$B$1:$B$45</formula1>
    </dataValidation>
    <dataValidation type="list" allowBlank="1" showErrorMessage="1" sqref="D19:D20">
      <formula1>"No,45 × 95,45 × 120,45 × 145,45 × 220"</formula1>
    </dataValidation>
    <dataValidation type="list" allowBlank="1" showErrorMessage="1" sqref="D23">
      <formula1>"No,ECRAN R2 HPV 50/1,50M ELOS"</formula1>
    </dataValidation>
    <dataValidation type="list" allowBlank="1" showErrorMessage="1" sqref="R19">
      <formula1>"LITEAUX sapin 3X4cm,No"</formula1>
    </dataValidation>
    <dataValidation type="list" allowBlank="1" showErrorMessage="1" sqref="V19 X19 Z19">
      <formula1>'Feuille 1'!$A$1:$A$70</formula1>
    </dataValidation>
    <dataValidation type="list" allowBlank="1" showErrorMessage="1" sqref="F33:F37 F42:F43">
      <formula1>'Feuille 1'!$A:$A</formula1>
    </dataValidation>
    <dataValidation type="list" allowBlank="1" showErrorMessage="1" sqref="F12">
      <formula1>'Feuille 1'!$B$1:$B$156</formula1>
    </dataValidation>
    <dataValidation type="list" allowBlank="1" showErrorMessage="1" sqref="T19">
      <formula1>"MONIER - Marseille mécanique,EDILIANS - PV10 / Petite moule,TERREAL - Romane mécanique,TERREAL -  Canal mécanique, Langedocienne,TERREAL - Double canal,TERREAL - DC12 Double Canal 12,TERREAL – Tuile plate Ardoisé 1EL,TERREAL – Tuile plate Ségala 1P20,EDIL"&amp;"IANS – Omega 10,EDILIANS – PV10 Huguenot,EDILIANS – H14 (grand moule),EDILIANS – Méridionale,No"</formula1>
    </dataValidation>
    <dataValidation type="list" allowBlank="1" showErrorMessage="1" sqref="D21">
      <formula1>"No,OSB3 12MM 2.50 X 1.25 PNX 3.125m2"</formula1>
    </dataValidation>
    <dataValidation type="list" allowBlank="1" showErrorMessage="1" sqref="F11">
      <formula1>"1,2,3,4,5,10,15,20,25,30,35,40,No"</formula1>
    </dataValidation>
    <dataValidation type="list" allowBlank="1" showErrorMessage="1" sqref="D14">
      <formula1>"Possible echaff,Possible echelle,Possible nacelle,Possible comble"</formula1>
    </dataValidation>
    <dataValidation type="list" allowBlank="1" showErrorMessage="1" sqref="N19">
      <formula1>"ECRAN R2 HPV 50/1,50M ELOS"</formula1>
    </dataValidation>
    <dataValidation type="list" allowBlank="1" showErrorMessage="1" sqref="D22">
      <formula1>"No,PARE VAPEUR SALOLA AEROVAP SD18 - Rlx75m2"</formula1>
    </dataValidation>
    <dataValidation type="list" allowBlank="1" showErrorMessage="1" sqref="F19:F21 D24">
      <formula1>"No,Option 2"</formula1>
    </dataValidation>
    <dataValidation type="list" allowBlank="1" showErrorMessage="1" sqref="P19">
      <formula1>"18×44,27×44,No"</formula1>
    </dataValidation>
    <dataValidation type="list" allowBlank="1" showErrorMessage="1" sqref="T20">
      <formula1>"Omega 10,PV10 Huguenot,Méridionale,H14 (grand moule)"</formula1>
    </dataValidation>
    <dataValidation type="list" allowBlank="1" showErrorMessage="1" sqref="H19">
      <formula1>'Feuille 2'!$C$30:$C$38</formula1>
    </dataValidation>
    <dataValidation type="list" allowBlank="1" showErrorMessage="1" sqref="L21">
      <formula1>"VOLIGES BNB (épicéa) MI-BOIS section 15x195mm RABOTE 1 FACE,VOLIGES 15mm TR2 TTL ( toutes largeurs ),No"</formula1>
    </dataValidation>
    <dataValidation type="list" allowBlank="1" showErrorMessage="1" sqref="H20">
      <formula1>'Feuille 2'!$C$38:$C$50</formula1>
    </dataValidation>
    <dataValidation type="list" allowBlank="1" showErrorMessage="1" sqref="J20">
      <formula1>"LAINE DE BOIS SEMIN FLEX PLUS 1.22 x 0.565m ép. 145mm,No"</formula1>
    </dataValidation>
    <dataValidation type="list" allowBlank="1" showErrorMessage="1" sqref="L20">
      <formula1>"45 × 120,45 × 95,45 × 145,45 × 220,No"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0"/>
  </cols>
  <sheetData>
    <row r="3">
      <c r="A3" s="69" t="s">
        <v>71</v>
      </c>
      <c r="B3" s="69" t="s">
        <v>88</v>
      </c>
      <c r="C3" s="70" t="s">
        <v>89</v>
      </c>
      <c r="D3" s="69" t="s">
        <v>90</v>
      </c>
      <c r="E3" s="69" t="s">
        <v>91</v>
      </c>
      <c r="F3" s="69" t="s">
        <v>92</v>
      </c>
      <c r="G3" s="69" t="s">
        <v>93</v>
      </c>
      <c r="H3" s="71" t="s">
        <v>94</v>
      </c>
      <c r="I3" s="71" t="s">
        <v>95</v>
      </c>
    </row>
    <row r="4">
      <c r="A4" s="72"/>
      <c r="M4" s="73" t="s">
        <v>96</v>
      </c>
      <c r="N4" s="73" t="s">
        <v>97</v>
      </c>
      <c r="O4" s="73" t="s">
        <v>98</v>
      </c>
      <c r="P4" s="73" t="s">
        <v>99</v>
      </c>
      <c r="Q4" s="73" t="s">
        <v>100</v>
      </c>
      <c r="R4" s="73" t="s">
        <v>101</v>
      </c>
    </row>
    <row r="5">
      <c r="A5" s="8" t="s">
        <v>102</v>
      </c>
      <c r="B5" s="8" t="s">
        <v>103</v>
      </c>
      <c r="C5" s="74" t="s">
        <v>104</v>
      </c>
      <c r="D5" s="75">
        <v>1.0</v>
      </c>
      <c r="E5" s="8" t="s">
        <v>82</v>
      </c>
      <c r="F5" s="75">
        <v>2.9</v>
      </c>
      <c r="G5" s="75">
        <f t="shared" ref="G5:G15" si="1">F5*1.27</f>
        <v>3.683</v>
      </c>
      <c r="H5" s="75"/>
      <c r="I5" s="8"/>
      <c r="M5" s="8" t="s">
        <v>105</v>
      </c>
      <c r="N5" s="8" t="s">
        <v>106</v>
      </c>
      <c r="O5" s="8" t="s">
        <v>107</v>
      </c>
      <c r="P5" s="8" t="s">
        <v>108</v>
      </c>
      <c r="Q5" s="8" t="s">
        <v>109</v>
      </c>
      <c r="R5" s="8" t="s">
        <v>110</v>
      </c>
    </row>
    <row r="6">
      <c r="A6" s="8" t="s">
        <v>111</v>
      </c>
      <c r="B6" s="8" t="s">
        <v>103</v>
      </c>
      <c r="C6" s="74" t="s">
        <v>112</v>
      </c>
      <c r="D6" s="75">
        <v>1.0</v>
      </c>
      <c r="E6" s="8" t="s">
        <v>82</v>
      </c>
      <c r="F6" s="75">
        <v>4.5</v>
      </c>
      <c r="G6" s="75">
        <f t="shared" si="1"/>
        <v>5.715</v>
      </c>
      <c r="H6" s="75"/>
      <c r="I6" s="8"/>
      <c r="M6" s="8" t="s">
        <v>113</v>
      </c>
      <c r="N6" s="8" t="s">
        <v>106</v>
      </c>
      <c r="O6" s="8" t="s">
        <v>107</v>
      </c>
      <c r="P6" s="76" t="s">
        <v>114</v>
      </c>
      <c r="Q6" s="8" t="s">
        <v>115</v>
      </c>
      <c r="R6" s="8" t="s">
        <v>116</v>
      </c>
    </row>
    <row r="7">
      <c r="A7" s="8" t="s">
        <v>117</v>
      </c>
      <c r="B7" s="8" t="s">
        <v>103</v>
      </c>
      <c r="C7" s="74" t="s">
        <v>118</v>
      </c>
      <c r="D7" s="75">
        <v>1.0</v>
      </c>
      <c r="E7" s="8" t="s">
        <v>82</v>
      </c>
      <c r="F7" s="75">
        <v>6.8</v>
      </c>
      <c r="G7" s="75">
        <f t="shared" si="1"/>
        <v>8.636</v>
      </c>
      <c r="H7" s="75"/>
      <c r="I7" s="8"/>
      <c r="M7" s="8" t="s">
        <v>113</v>
      </c>
      <c r="N7" s="8" t="s">
        <v>119</v>
      </c>
      <c r="O7" s="8" t="s">
        <v>120</v>
      </c>
      <c r="P7" s="76" t="s">
        <v>121</v>
      </c>
      <c r="Q7" s="8" t="s">
        <v>122</v>
      </c>
      <c r="R7" s="8" t="s">
        <v>123</v>
      </c>
    </row>
    <row r="8">
      <c r="A8" s="8" t="s">
        <v>124</v>
      </c>
      <c r="B8" s="8" t="s">
        <v>125</v>
      </c>
      <c r="C8" s="74" t="s">
        <v>126</v>
      </c>
      <c r="D8" s="75">
        <v>1.0</v>
      </c>
      <c r="E8" s="8" t="s">
        <v>85</v>
      </c>
      <c r="F8" s="75">
        <f>ROUNDUP(95/5.5,0)</f>
        <v>18</v>
      </c>
      <c r="G8" s="75">
        <f t="shared" si="1"/>
        <v>22.86</v>
      </c>
      <c r="H8" s="75"/>
      <c r="I8" s="8"/>
      <c r="M8" s="8" t="s">
        <v>127</v>
      </c>
      <c r="N8" s="8" t="s">
        <v>128</v>
      </c>
      <c r="O8" s="8" t="s">
        <v>120</v>
      </c>
      <c r="P8" s="76" t="s">
        <v>129</v>
      </c>
      <c r="Q8" s="8" t="s">
        <v>130</v>
      </c>
      <c r="R8" s="8" t="s">
        <v>131</v>
      </c>
    </row>
    <row r="9">
      <c r="A9" s="8" t="s">
        <v>132</v>
      </c>
      <c r="B9" s="8"/>
      <c r="C9" s="8"/>
      <c r="D9" s="75">
        <v>75.0</v>
      </c>
      <c r="E9" s="8" t="s">
        <v>85</v>
      </c>
      <c r="F9" s="75">
        <v>95.0</v>
      </c>
      <c r="G9" s="75">
        <f t="shared" si="1"/>
        <v>120.65</v>
      </c>
      <c r="H9" s="75"/>
      <c r="I9" s="8"/>
      <c r="M9" s="8" t="s">
        <v>127</v>
      </c>
      <c r="N9" s="8" t="s">
        <v>106</v>
      </c>
      <c r="O9" s="8" t="s">
        <v>120</v>
      </c>
      <c r="P9" s="76" t="s">
        <v>133</v>
      </c>
      <c r="Q9" s="8" t="s">
        <v>109</v>
      </c>
      <c r="R9" s="8" t="s">
        <v>134</v>
      </c>
    </row>
    <row r="10">
      <c r="A10" s="8" t="s">
        <v>135</v>
      </c>
      <c r="B10" s="8" t="s">
        <v>125</v>
      </c>
      <c r="C10" s="75">
        <v>5.4</v>
      </c>
      <c r="D10" s="75">
        <v>1.0</v>
      </c>
      <c r="E10" s="8" t="s">
        <v>82</v>
      </c>
      <c r="F10" s="75">
        <v>7.0</v>
      </c>
      <c r="G10" s="75">
        <f t="shared" si="1"/>
        <v>8.89</v>
      </c>
      <c r="H10" s="75"/>
      <c r="I10" s="8"/>
      <c r="M10" s="8" t="s">
        <v>127</v>
      </c>
      <c r="N10" s="8" t="s">
        <v>119</v>
      </c>
      <c r="O10" s="8" t="s">
        <v>136</v>
      </c>
      <c r="P10" s="76" t="s">
        <v>137</v>
      </c>
      <c r="Q10" s="8" t="s">
        <v>138</v>
      </c>
      <c r="R10" s="8" t="s">
        <v>139</v>
      </c>
    </row>
    <row r="11">
      <c r="A11" s="8" t="s">
        <v>140</v>
      </c>
      <c r="B11" s="8" t="s">
        <v>141</v>
      </c>
      <c r="C11" s="75">
        <v>5.4</v>
      </c>
      <c r="D11" s="75">
        <v>1.0</v>
      </c>
      <c r="E11" s="8" t="s">
        <v>82</v>
      </c>
      <c r="F11" s="75">
        <v>7.3</v>
      </c>
      <c r="G11" s="75">
        <f t="shared" si="1"/>
        <v>9.271</v>
      </c>
      <c r="H11" s="75"/>
      <c r="I11" s="8"/>
      <c r="M11" s="8" t="s">
        <v>142</v>
      </c>
      <c r="N11" s="8" t="s">
        <v>106</v>
      </c>
      <c r="O11" s="8" t="s">
        <v>120</v>
      </c>
      <c r="P11" s="76" t="s">
        <v>143</v>
      </c>
      <c r="Q11" s="8" t="s">
        <v>144</v>
      </c>
      <c r="R11" s="8" t="s">
        <v>131</v>
      </c>
    </row>
    <row r="12">
      <c r="A12" s="8" t="s">
        <v>145</v>
      </c>
      <c r="B12" s="75">
        <v>505010.0</v>
      </c>
      <c r="C12" s="75">
        <v>1.22</v>
      </c>
      <c r="D12" s="75">
        <v>1.0</v>
      </c>
      <c r="E12" s="8" t="s">
        <v>85</v>
      </c>
      <c r="F12" s="75">
        <v>13.5</v>
      </c>
      <c r="G12" s="75">
        <f t="shared" si="1"/>
        <v>17.145</v>
      </c>
      <c r="H12" s="75"/>
      <c r="I12" s="8"/>
      <c r="M12" s="8" t="s">
        <v>142</v>
      </c>
      <c r="N12" s="8" t="s">
        <v>106</v>
      </c>
      <c r="O12" s="8" t="s">
        <v>120</v>
      </c>
      <c r="P12" s="76" t="s">
        <v>146</v>
      </c>
      <c r="Q12" s="8" t="s">
        <v>147</v>
      </c>
      <c r="R12" s="8" t="s">
        <v>148</v>
      </c>
    </row>
    <row r="13">
      <c r="A13" s="8" t="s">
        <v>149</v>
      </c>
      <c r="B13" s="75">
        <v>206002.0</v>
      </c>
      <c r="C13" s="71" t="s">
        <v>150</v>
      </c>
      <c r="D13" s="75">
        <v>1.0</v>
      </c>
      <c r="E13" s="8" t="s">
        <v>85</v>
      </c>
      <c r="F13" s="75">
        <v>24.0</v>
      </c>
      <c r="G13" s="75">
        <f t="shared" si="1"/>
        <v>30.48</v>
      </c>
      <c r="H13" s="75"/>
      <c r="I13" s="8"/>
      <c r="M13" s="8" t="s">
        <v>142</v>
      </c>
      <c r="N13" s="8" t="s">
        <v>151</v>
      </c>
      <c r="O13" s="8" t="s">
        <v>120</v>
      </c>
      <c r="P13" s="76" t="s">
        <v>152</v>
      </c>
      <c r="Q13" s="8" t="s">
        <v>153</v>
      </c>
      <c r="R13" s="8" t="s">
        <v>139</v>
      </c>
    </row>
    <row r="14">
      <c r="A14" s="8" t="s">
        <v>154</v>
      </c>
      <c r="B14" s="8"/>
      <c r="C14" s="8"/>
      <c r="D14" s="75">
        <v>25.0</v>
      </c>
      <c r="E14" s="8" t="s">
        <v>82</v>
      </c>
      <c r="F14" s="75">
        <v>92.0</v>
      </c>
      <c r="G14" s="75">
        <f t="shared" si="1"/>
        <v>116.84</v>
      </c>
      <c r="H14" s="75"/>
      <c r="I14" s="8"/>
      <c r="M14" s="8" t="s">
        <v>155</v>
      </c>
      <c r="N14" s="8" t="s">
        <v>151</v>
      </c>
      <c r="O14" s="8" t="s">
        <v>120</v>
      </c>
      <c r="P14" s="76" t="s">
        <v>152</v>
      </c>
      <c r="Q14" s="8" t="s">
        <v>156</v>
      </c>
      <c r="R14" s="8" t="s">
        <v>157</v>
      </c>
    </row>
    <row r="15">
      <c r="A15" s="8" t="s">
        <v>49</v>
      </c>
      <c r="B15" s="8"/>
      <c r="C15" s="8"/>
      <c r="D15" s="75">
        <v>75.0</v>
      </c>
      <c r="E15" s="8" t="s">
        <v>85</v>
      </c>
      <c r="F15" s="75">
        <v>82.0</v>
      </c>
      <c r="G15" s="75">
        <f t="shared" si="1"/>
        <v>104.14</v>
      </c>
      <c r="H15" s="75"/>
      <c r="I15" s="8"/>
      <c r="M15" s="8" t="s">
        <v>155</v>
      </c>
      <c r="N15" s="8" t="s">
        <v>106</v>
      </c>
      <c r="O15" s="8" t="s">
        <v>120</v>
      </c>
      <c r="P15" s="76" t="s">
        <v>158</v>
      </c>
      <c r="Q15" s="8" t="s">
        <v>109</v>
      </c>
      <c r="R15" s="8" t="s">
        <v>159</v>
      </c>
    </row>
    <row r="16">
      <c r="A16" s="73" t="s">
        <v>99</v>
      </c>
      <c r="B16" s="73" t="s">
        <v>97</v>
      </c>
      <c r="C16" s="73" t="s">
        <v>96</v>
      </c>
      <c r="F16" s="77" t="s">
        <v>160</v>
      </c>
      <c r="M16" s="8" t="s">
        <v>161</v>
      </c>
      <c r="N16" s="8" t="s">
        <v>162</v>
      </c>
      <c r="O16" s="8"/>
      <c r="P16" s="76" t="s">
        <v>163</v>
      </c>
      <c r="Q16" s="8" t="s">
        <v>164</v>
      </c>
      <c r="R16" s="8" t="s">
        <v>165</v>
      </c>
    </row>
    <row r="17">
      <c r="A17" s="8" t="s">
        <v>108</v>
      </c>
      <c r="B17" s="8" t="s">
        <v>106</v>
      </c>
      <c r="C17" s="8" t="s">
        <v>105</v>
      </c>
      <c r="D17" s="1">
        <v>1.0</v>
      </c>
      <c r="E17" s="1" t="s">
        <v>166</v>
      </c>
      <c r="F17" s="71">
        <v>0.135</v>
      </c>
      <c r="G17" s="9">
        <f t="shared" ref="G17:G28" si="2">F17+0.5</f>
        <v>0.635</v>
      </c>
      <c r="M17" s="8"/>
      <c r="N17" s="8"/>
      <c r="O17" s="8"/>
      <c r="P17" s="8"/>
      <c r="Q17" s="8"/>
      <c r="R17" s="8"/>
    </row>
    <row r="18">
      <c r="A18" s="76" t="s">
        <v>167</v>
      </c>
      <c r="B18" s="8" t="s">
        <v>106</v>
      </c>
      <c r="C18" s="8" t="s">
        <v>113</v>
      </c>
      <c r="D18" s="1">
        <v>1.0</v>
      </c>
      <c r="E18" s="1" t="s">
        <v>166</v>
      </c>
      <c r="F18" s="71">
        <v>0.87</v>
      </c>
      <c r="G18" s="9">
        <f t="shared" si="2"/>
        <v>1.37</v>
      </c>
      <c r="M18" s="73" t="s">
        <v>168</v>
      </c>
      <c r="N18" s="73" t="s">
        <v>169</v>
      </c>
      <c r="O18" s="73" t="s">
        <v>170</v>
      </c>
      <c r="P18" s="73" t="s">
        <v>171</v>
      </c>
      <c r="Q18" s="73" t="s">
        <v>172</v>
      </c>
      <c r="R18" s="73" t="s">
        <v>173</v>
      </c>
    </row>
    <row r="19">
      <c r="A19" s="76" t="s">
        <v>174</v>
      </c>
      <c r="B19" s="8" t="s">
        <v>119</v>
      </c>
      <c r="C19" s="8" t="s">
        <v>113</v>
      </c>
      <c r="D19" s="1">
        <v>1.0</v>
      </c>
      <c r="E19" s="1" t="s">
        <v>166</v>
      </c>
      <c r="F19" s="71">
        <v>0.56</v>
      </c>
      <c r="G19" s="9">
        <f t="shared" si="2"/>
        <v>1.06</v>
      </c>
      <c r="M19" s="8" t="s">
        <v>175</v>
      </c>
      <c r="N19" s="8" t="s">
        <v>50</v>
      </c>
      <c r="O19" s="8" t="s">
        <v>176</v>
      </c>
      <c r="P19" s="8" t="s">
        <v>177</v>
      </c>
      <c r="Q19" s="8" t="s">
        <v>178</v>
      </c>
      <c r="R19" s="8" t="s">
        <v>179</v>
      </c>
    </row>
    <row r="20">
      <c r="A20" s="76" t="s">
        <v>180</v>
      </c>
      <c r="B20" s="8" t="s">
        <v>128</v>
      </c>
      <c r="C20" s="8" t="s">
        <v>127</v>
      </c>
      <c r="D20" s="1">
        <v>1.0</v>
      </c>
      <c r="E20" s="1" t="s">
        <v>166</v>
      </c>
      <c r="F20" s="71">
        <v>0.5</v>
      </c>
      <c r="G20" s="9">
        <f t="shared" si="2"/>
        <v>1</v>
      </c>
      <c r="M20" s="8"/>
      <c r="N20" s="8" t="s">
        <v>181</v>
      </c>
      <c r="O20" s="8" t="s">
        <v>182</v>
      </c>
      <c r="P20" s="8" t="s">
        <v>183</v>
      </c>
      <c r="Q20" s="8" t="s">
        <v>184</v>
      </c>
      <c r="R20" s="8" t="s">
        <v>185</v>
      </c>
    </row>
    <row r="21">
      <c r="A21" s="76" t="s">
        <v>186</v>
      </c>
      <c r="B21" s="8" t="s">
        <v>106</v>
      </c>
      <c r="C21" s="8" t="s">
        <v>127</v>
      </c>
      <c r="D21" s="1">
        <v>1.0</v>
      </c>
      <c r="E21" s="1" t="s">
        <v>166</v>
      </c>
      <c r="F21" s="71">
        <v>0.24</v>
      </c>
      <c r="G21" s="9">
        <f t="shared" si="2"/>
        <v>0.74</v>
      </c>
      <c r="M21" s="8"/>
      <c r="N21" s="8" t="s">
        <v>187</v>
      </c>
      <c r="O21" s="8" t="s">
        <v>188</v>
      </c>
      <c r="P21" s="8" t="s">
        <v>189</v>
      </c>
      <c r="Q21" s="8" t="s">
        <v>190</v>
      </c>
      <c r="R21" s="8" t="s">
        <v>191</v>
      </c>
    </row>
    <row r="22">
      <c r="A22" s="76" t="s">
        <v>192</v>
      </c>
      <c r="B22" s="8" t="s">
        <v>119</v>
      </c>
      <c r="C22" s="8" t="s">
        <v>127</v>
      </c>
      <c r="D22" s="1">
        <v>1.0</v>
      </c>
      <c r="E22" s="1" t="s">
        <v>166</v>
      </c>
      <c r="F22" s="71">
        <v>0.12</v>
      </c>
      <c r="G22" s="9">
        <f t="shared" si="2"/>
        <v>0.62</v>
      </c>
      <c r="M22" s="8"/>
      <c r="N22" s="8" t="s">
        <v>193</v>
      </c>
      <c r="O22" s="8" t="s">
        <v>188</v>
      </c>
      <c r="P22" s="8" t="s">
        <v>189</v>
      </c>
      <c r="Q22" s="8" t="s">
        <v>194</v>
      </c>
      <c r="R22" s="8" t="s">
        <v>195</v>
      </c>
    </row>
    <row r="23">
      <c r="A23" s="76" t="s">
        <v>143</v>
      </c>
      <c r="B23" s="8" t="s">
        <v>106</v>
      </c>
      <c r="C23" s="8" t="s">
        <v>142</v>
      </c>
      <c r="D23" s="1">
        <v>1.0</v>
      </c>
      <c r="E23" s="1" t="s">
        <v>166</v>
      </c>
      <c r="F23" s="71">
        <v>0.5</v>
      </c>
      <c r="G23" s="9">
        <f t="shared" si="2"/>
        <v>1</v>
      </c>
      <c r="M23" s="8"/>
      <c r="N23" s="8" t="s">
        <v>196</v>
      </c>
      <c r="O23" s="8" t="s">
        <v>197</v>
      </c>
      <c r="P23" s="8" t="s">
        <v>198</v>
      </c>
      <c r="Q23" s="8" t="s">
        <v>199</v>
      </c>
      <c r="R23" s="8" t="s">
        <v>200</v>
      </c>
    </row>
    <row r="24">
      <c r="A24" s="76" t="s">
        <v>146</v>
      </c>
      <c r="B24" s="8" t="s">
        <v>106</v>
      </c>
      <c r="C24" s="8" t="s">
        <v>142</v>
      </c>
      <c r="D24" s="1">
        <v>1.0</v>
      </c>
      <c r="E24" s="1" t="s">
        <v>166</v>
      </c>
      <c r="F24" s="71">
        <v>0.31</v>
      </c>
      <c r="G24" s="9">
        <f t="shared" si="2"/>
        <v>0.81</v>
      </c>
      <c r="M24" s="8"/>
      <c r="N24" s="8" t="s">
        <v>48</v>
      </c>
      <c r="O24" s="8" t="s">
        <v>197</v>
      </c>
      <c r="P24" s="8" t="s">
        <v>198</v>
      </c>
      <c r="Q24" s="8" t="s">
        <v>201</v>
      </c>
      <c r="R24" s="8" t="s">
        <v>202</v>
      </c>
    </row>
    <row r="25">
      <c r="A25" s="76" t="s">
        <v>152</v>
      </c>
      <c r="B25" s="8" t="s">
        <v>151</v>
      </c>
      <c r="C25" s="8" t="s">
        <v>142</v>
      </c>
      <c r="D25" s="1">
        <v>1.0</v>
      </c>
      <c r="E25" s="1" t="s">
        <v>166</v>
      </c>
      <c r="F25" s="71">
        <v>0.12</v>
      </c>
      <c r="G25" s="9">
        <f t="shared" si="2"/>
        <v>0.62</v>
      </c>
      <c r="M25" s="8"/>
      <c r="N25" s="8" t="s">
        <v>203</v>
      </c>
      <c r="O25" s="8" t="s">
        <v>204</v>
      </c>
      <c r="P25" s="8" t="s">
        <v>198</v>
      </c>
      <c r="Q25" s="8" t="s">
        <v>205</v>
      </c>
      <c r="R25" s="8" t="s">
        <v>206</v>
      </c>
    </row>
    <row r="26">
      <c r="A26" s="76" t="s">
        <v>152</v>
      </c>
      <c r="B26" s="8" t="s">
        <v>151</v>
      </c>
      <c r="C26" s="8" t="s">
        <v>155</v>
      </c>
      <c r="D26" s="1">
        <v>1.0</v>
      </c>
      <c r="E26" s="1" t="s">
        <v>166</v>
      </c>
      <c r="F26" s="71">
        <v>0.17</v>
      </c>
      <c r="G26" s="9">
        <f t="shared" si="2"/>
        <v>0.67</v>
      </c>
      <c r="M26" s="8"/>
      <c r="N26" s="8" t="s">
        <v>46</v>
      </c>
      <c r="O26" s="8" t="s">
        <v>207</v>
      </c>
      <c r="P26" s="8" t="s">
        <v>208</v>
      </c>
      <c r="Q26" s="8" t="s">
        <v>209</v>
      </c>
      <c r="R26" s="8" t="s">
        <v>210</v>
      </c>
    </row>
    <row r="27">
      <c r="A27" s="76" t="s">
        <v>211</v>
      </c>
      <c r="B27" s="8" t="s">
        <v>106</v>
      </c>
      <c r="C27" s="8" t="s">
        <v>155</v>
      </c>
      <c r="D27" s="1">
        <v>1.0</v>
      </c>
      <c r="E27" s="1" t="s">
        <v>166</v>
      </c>
      <c r="F27" s="71">
        <v>0.22</v>
      </c>
      <c r="G27" s="9">
        <f t="shared" si="2"/>
        <v>0.72</v>
      </c>
      <c r="M27" s="8"/>
      <c r="N27" s="8"/>
      <c r="O27" s="8"/>
      <c r="P27" s="8"/>
      <c r="Q27" s="8"/>
      <c r="R27" s="8"/>
    </row>
    <row r="28">
      <c r="A28" s="76" t="s">
        <v>212</v>
      </c>
      <c r="B28" s="8" t="s">
        <v>162</v>
      </c>
      <c r="C28" s="8" t="s">
        <v>161</v>
      </c>
      <c r="D28" s="1">
        <v>1.0</v>
      </c>
      <c r="E28" s="1" t="s">
        <v>166</v>
      </c>
      <c r="F28" s="71">
        <v>0.33</v>
      </c>
      <c r="G28" s="9">
        <f t="shared" si="2"/>
        <v>0.83</v>
      </c>
      <c r="M28" s="8" t="s">
        <v>213</v>
      </c>
      <c r="N28" s="73" t="s">
        <v>169</v>
      </c>
      <c r="O28" s="73" t="s">
        <v>170</v>
      </c>
      <c r="P28" s="73" t="s">
        <v>171</v>
      </c>
      <c r="Q28" s="73" t="s">
        <v>214</v>
      </c>
      <c r="R28" s="73" t="s">
        <v>215</v>
      </c>
    </row>
    <row r="29">
      <c r="A29" s="73" t="s">
        <v>168</v>
      </c>
      <c r="C29" s="77" t="s">
        <v>89</v>
      </c>
      <c r="F29" s="77" t="s">
        <v>160</v>
      </c>
      <c r="M29" s="8"/>
      <c r="N29" s="8" t="s">
        <v>216</v>
      </c>
      <c r="O29" s="8" t="s">
        <v>217</v>
      </c>
      <c r="P29" s="8" t="s">
        <v>218</v>
      </c>
      <c r="Q29" s="8" t="s">
        <v>219</v>
      </c>
      <c r="R29" s="78" t="s">
        <v>220</v>
      </c>
    </row>
    <row r="30">
      <c r="A30" s="8" t="s">
        <v>175</v>
      </c>
      <c r="B30" s="1" t="s">
        <v>45</v>
      </c>
      <c r="C30" s="8" t="s">
        <v>50</v>
      </c>
      <c r="D30" s="1">
        <v>1.0</v>
      </c>
      <c r="E30" s="1" t="s">
        <v>82</v>
      </c>
      <c r="F30" s="71">
        <v>0.4</v>
      </c>
      <c r="G30" s="9">
        <f t="shared" ref="G30:G37" si="3">F30*1.3</f>
        <v>0.52</v>
      </c>
      <c r="M30" s="8"/>
      <c r="N30" s="8" t="s">
        <v>221</v>
      </c>
      <c r="O30" s="8" t="s">
        <v>222</v>
      </c>
      <c r="P30" s="8" t="s">
        <v>223</v>
      </c>
      <c r="Q30" s="8" t="s">
        <v>224</v>
      </c>
      <c r="R30" s="78" t="s">
        <v>225</v>
      </c>
    </row>
    <row r="31">
      <c r="B31" s="1" t="s">
        <v>45</v>
      </c>
      <c r="C31" s="8" t="s">
        <v>181</v>
      </c>
      <c r="D31" s="1">
        <v>1.0</v>
      </c>
      <c r="E31" s="1" t="s">
        <v>82</v>
      </c>
      <c r="F31" s="71">
        <v>0.6</v>
      </c>
      <c r="G31" s="9">
        <f t="shared" si="3"/>
        <v>0.78</v>
      </c>
      <c r="M31" s="8"/>
      <c r="N31" s="8" t="s">
        <v>226</v>
      </c>
      <c r="O31" s="8" t="s">
        <v>185</v>
      </c>
      <c r="P31" s="8" t="s">
        <v>227</v>
      </c>
      <c r="Q31" s="8" t="s">
        <v>228</v>
      </c>
      <c r="R31" s="78" t="s">
        <v>229</v>
      </c>
    </row>
    <row r="32">
      <c r="B32" s="1" t="s">
        <v>45</v>
      </c>
      <c r="C32" s="8" t="s">
        <v>187</v>
      </c>
      <c r="D32" s="1">
        <v>1.0</v>
      </c>
      <c r="E32" s="1" t="s">
        <v>82</v>
      </c>
      <c r="F32" s="71">
        <v>0.9</v>
      </c>
      <c r="G32" s="9">
        <f t="shared" si="3"/>
        <v>1.17</v>
      </c>
      <c r="M32" s="8"/>
      <c r="N32" s="8" t="s">
        <v>230</v>
      </c>
      <c r="O32" s="8" t="s">
        <v>231</v>
      </c>
      <c r="P32" s="8" t="s">
        <v>232</v>
      </c>
      <c r="Q32" s="8" t="s">
        <v>233</v>
      </c>
      <c r="R32" s="78" t="s">
        <v>234</v>
      </c>
    </row>
    <row r="33">
      <c r="B33" s="1" t="s">
        <v>45</v>
      </c>
      <c r="C33" s="8" t="s">
        <v>193</v>
      </c>
      <c r="D33" s="1">
        <v>1.0</v>
      </c>
      <c r="E33" s="1" t="s">
        <v>82</v>
      </c>
      <c r="F33" s="71">
        <v>1.1</v>
      </c>
      <c r="G33" s="9">
        <f t="shared" si="3"/>
        <v>1.43</v>
      </c>
      <c r="M33" s="8"/>
      <c r="N33" s="8" t="s">
        <v>235</v>
      </c>
      <c r="O33" s="8" t="s">
        <v>236</v>
      </c>
      <c r="P33" s="8" t="s">
        <v>232</v>
      </c>
      <c r="Q33" s="8" t="s">
        <v>237</v>
      </c>
      <c r="R33" s="78" t="s">
        <v>238</v>
      </c>
    </row>
    <row r="34">
      <c r="B34" s="1" t="s">
        <v>45</v>
      </c>
      <c r="C34" s="8" t="s">
        <v>196</v>
      </c>
      <c r="D34" s="1">
        <v>1.0</v>
      </c>
      <c r="E34" s="1" t="s">
        <v>82</v>
      </c>
      <c r="F34" s="71">
        <v>1.5</v>
      </c>
      <c r="G34" s="9">
        <f t="shared" si="3"/>
        <v>1.95</v>
      </c>
      <c r="M34" s="8"/>
      <c r="N34" s="8" t="s">
        <v>239</v>
      </c>
      <c r="O34" s="8" t="s">
        <v>240</v>
      </c>
      <c r="P34" s="8" t="s">
        <v>232</v>
      </c>
      <c r="Q34" s="8" t="s">
        <v>241</v>
      </c>
      <c r="R34" s="78" t="s">
        <v>242</v>
      </c>
    </row>
    <row r="35">
      <c r="B35" s="1" t="s">
        <v>45</v>
      </c>
      <c r="C35" s="8" t="s">
        <v>48</v>
      </c>
      <c r="D35" s="1">
        <v>1.0</v>
      </c>
      <c r="E35" s="1" t="s">
        <v>82</v>
      </c>
      <c r="F35" s="71">
        <v>2.2</v>
      </c>
      <c r="G35" s="9">
        <f t="shared" si="3"/>
        <v>2.86</v>
      </c>
      <c r="M35" s="8"/>
      <c r="N35" s="8" t="s">
        <v>243</v>
      </c>
      <c r="O35" s="8" t="s">
        <v>244</v>
      </c>
      <c r="P35" s="8" t="s">
        <v>245</v>
      </c>
      <c r="Q35" s="8" t="s">
        <v>246</v>
      </c>
      <c r="R35" s="78" t="s">
        <v>247</v>
      </c>
    </row>
    <row r="36">
      <c r="B36" s="1" t="s">
        <v>45</v>
      </c>
      <c r="C36" s="8" t="s">
        <v>203</v>
      </c>
      <c r="D36" s="1">
        <v>1.0</v>
      </c>
      <c r="E36" s="1" t="s">
        <v>82</v>
      </c>
      <c r="F36" s="71">
        <v>3.95</v>
      </c>
      <c r="G36" s="9">
        <f t="shared" si="3"/>
        <v>5.135</v>
      </c>
      <c r="M36" s="8"/>
      <c r="N36" s="8" t="s">
        <v>248</v>
      </c>
      <c r="O36" s="8" t="s">
        <v>249</v>
      </c>
      <c r="P36" s="8" t="s">
        <v>250</v>
      </c>
      <c r="Q36" s="8" t="s">
        <v>251</v>
      </c>
      <c r="R36" s="78" t="s">
        <v>252</v>
      </c>
    </row>
    <row r="37">
      <c r="B37" s="1" t="s">
        <v>45</v>
      </c>
      <c r="C37" s="8" t="s">
        <v>46</v>
      </c>
      <c r="D37" s="1">
        <v>1.0</v>
      </c>
      <c r="E37" s="1" t="s">
        <v>82</v>
      </c>
      <c r="F37" s="71">
        <v>7.0</v>
      </c>
      <c r="G37" s="9">
        <f t="shared" si="3"/>
        <v>9.1</v>
      </c>
      <c r="M37" s="8"/>
      <c r="N37" s="8" t="s">
        <v>253</v>
      </c>
      <c r="O37" s="8" t="s">
        <v>254</v>
      </c>
      <c r="P37" s="8" t="s">
        <v>250</v>
      </c>
      <c r="Q37" s="8" t="s">
        <v>255</v>
      </c>
      <c r="R37" s="78" t="s">
        <v>256</v>
      </c>
    </row>
    <row r="38">
      <c r="A38" s="8"/>
      <c r="C38" s="1" t="s">
        <v>0</v>
      </c>
      <c r="H38" s="1" t="s">
        <v>0</v>
      </c>
      <c r="M38" s="8"/>
      <c r="N38" s="8" t="s">
        <v>257</v>
      </c>
      <c r="O38" s="8" t="s">
        <v>258</v>
      </c>
      <c r="P38" s="8" t="s">
        <v>250</v>
      </c>
      <c r="Q38" s="8" t="s">
        <v>259</v>
      </c>
      <c r="R38" s="78" t="s">
        <v>260</v>
      </c>
    </row>
    <row r="39">
      <c r="A39" s="8" t="s">
        <v>213</v>
      </c>
      <c r="B39" s="1" t="s">
        <v>261</v>
      </c>
      <c r="C39" s="8" t="s">
        <v>216</v>
      </c>
      <c r="D39" s="1">
        <v>1.0</v>
      </c>
      <c r="E39" s="1" t="s">
        <v>82</v>
      </c>
      <c r="F39" s="71">
        <v>3.8</v>
      </c>
      <c r="G39" s="9">
        <f t="shared" ref="G39:G50" si="4">F39*1.3</f>
        <v>4.94</v>
      </c>
      <c r="M39" s="8"/>
      <c r="N39" s="8" t="s">
        <v>58</v>
      </c>
      <c r="O39" s="8" t="s">
        <v>262</v>
      </c>
      <c r="P39" s="8" t="s">
        <v>263</v>
      </c>
      <c r="Q39" s="8" t="s">
        <v>264</v>
      </c>
      <c r="R39" s="78" t="s">
        <v>265</v>
      </c>
    </row>
    <row r="40">
      <c r="B40" s="1" t="s">
        <v>261</v>
      </c>
      <c r="C40" s="8" t="s">
        <v>221</v>
      </c>
      <c r="D40" s="1">
        <v>1.0</v>
      </c>
      <c r="E40" s="1" t="s">
        <v>82</v>
      </c>
      <c r="F40" s="71">
        <v>5.75</v>
      </c>
      <c r="G40" s="9">
        <f t="shared" si="4"/>
        <v>7.475</v>
      </c>
      <c r="M40" s="8"/>
      <c r="N40" s="8" t="s">
        <v>266</v>
      </c>
      <c r="O40" s="8" t="s">
        <v>267</v>
      </c>
      <c r="P40" s="8" t="s">
        <v>268</v>
      </c>
      <c r="Q40" s="8" t="s">
        <v>269</v>
      </c>
      <c r="R40" s="78" t="s">
        <v>270</v>
      </c>
    </row>
    <row r="41">
      <c r="B41" s="1" t="s">
        <v>261</v>
      </c>
      <c r="C41" s="8" t="s">
        <v>226</v>
      </c>
      <c r="D41" s="1">
        <v>1.0</v>
      </c>
      <c r="E41" s="1" t="s">
        <v>82</v>
      </c>
      <c r="F41" s="71">
        <v>2.5</v>
      </c>
      <c r="G41" s="9">
        <f t="shared" si="4"/>
        <v>3.25</v>
      </c>
      <c r="M41" s="8"/>
      <c r="N41" s="8"/>
      <c r="O41" s="8"/>
      <c r="P41" s="8"/>
      <c r="Q41" s="8"/>
      <c r="R41" s="8"/>
    </row>
    <row r="42">
      <c r="B42" s="1" t="s">
        <v>261</v>
      </c>
      <c r="C42" s="8" t="s">
        <v>230</v>
      </c>
      <c r="D42" s="1">
        <v>1.0</v>
      </c>
      <c r="E42" s="1" t="s">
        <v>82</v>
      </c>
      <c r="F42" s="71">
        <v>4.0</v>
      </c>
      <c r="G42" s="9">
        <f t="shared" si="4"/>
        <v>5.2</v>
      </c>
      <c r="M42" s="73" t="s">
        <v>271</v>
      </c>
      <c r="N42" s="73" t="s">
        <v>272</v>
      </c>
      <c r="O42" s="73" t="s">
        <v>273</v>
      </c>
      <c r="P42" s="73" t="s">
        <v>274</v>
      </c>
      <c r="Q42" s="73" t="s">
        <v>275</v>
      </c>
      <c r="R42" s="73" t="s">
        <v>276</v>
      </c>
    </row>
    <row r="43">
      <c r="B43" s="1" t="s">
        <v>261</v>
      </c>
      <c r="C43" s="8" t="s">
        <v>235</v>
      </c>
      <c r="D43" s="1">
        <v>1.0</v>
      </c>
      <c r="E43" s="1" t="s">
        <v>82</v>
      </c>
      <c r="F43" s="71">
        <v>5.8</v>
      </c>
      <c r="G43" s="9">
        <f t="shared" si="4"/>
        <v>7.54</v>
      </c>
      <c r="M43" s="8" t="s">
        <v>277</v>
      </c>
      <c r="N43" s="8" t="s">
        <v>278</v>
      </c>
      <c r="O43" s="8" t="s">
        <v>279</v>
      </c>
      <c r="P43" s="8" t="s">
        <v>280</v>
      </c>
      <c r="Q43" s="8" t="s">
        <v>281</v>
      </c>
      <c r="R43" s="8" t="s">
        <v>282</v>
      </c>
    </row>
    <row r="44">
      <c r="B44" s="1" t="s">
        <v>261</v>
      </c>
      <c r="C44" s="8" t="s">
        <v>239</v>
      </c>
      <c r="D44" s="1">
        <v>1.0</v>
      </c>
      <c r="E44" s="1" t="s">
        <v>82</v>
      </c>
      <c r="F44" s="71">
        <v>6.25</v>
      </c>
      <c r="G44" s="9">
        <f t="shared" si="4"/>
        <v>8.125</v>
      </c>
      <c r="M44" s="8" t="s">
        <v>283</v>
      </c>
      <c r="N44" s="8" t="s">
        <v>284</v>
      </c>
      <c r="O44" s="8" t="s">
        <v>285</v>
      </c>
      <c r="P44" s="8" t="s">
        <v>286</v>
      </c>
      <c r="Q44" s="8" t="s">
        <v>287</v>
      </c>
      <c r="R44" s="8" t="s">
        <v>288</v>
      </c>
    </row>
    <row r="45">
      <c r="B45" s="1" t="s">
        <v>261</v>
      </c>
      <c r="C45" s="8" t="s">
        <v>243</v>
      </c>
      <c r="D45" s="1">
        <v>1.0</v>
      </c>
      <c r="E45" s="1" t="s">
        <v>82</v>
      </c>
      <c r="F45" s="71">
        <v>8.8</v>
      </c>
      <c r="G45" s="9">
        <f t="shared" si="4"/>
        <v>11.44</v>
      </c>
      <c r="M45" s="8" t="s">
        <v>289</v>
      </c>
      <c r="N45" s="8" t="s">
        <v>290</v>
      </c>
      <c r="O45" s="8" t="s">
        <v>291</v>
      </c>
      <c r="P45" s="8" t="s">
        <v>292</v>
      </c>
      <c r="Q45" s="8" t="s">
        <v>281</v>
      </c>
      <c r="R45" s="8" t="s">
        <v>293</v>
      </c>
    </row>
    <row r="46">
      <c r="B46" s="1" t="s">
        <v>261</v>
      </c>
      <c r="C46" s="8" t="s">
        <v>248</v>
      </c>
      <c r="D46" s="1">
        <v>1.0</v>
      </c>
      <c r="E46" s="1" t="s">
        <v>82</v>
      </c>
      <c r="F46" s="71">
        <v>4.95</v>
      </c>
      <c r="G46" s="9">
        <f t="shared" si="4"/>
        <v>6.435</v>
      </c>
      <c r="M46" s="8" t="s">
        <v>294</v>
      </c>
      <c r="N46" s="8" t="s">
        <v>295</v>
      </c>
      <c r="O46" s="8" t="s">
        <v>296</v>
      </c>
      <c r="P46" s="8" t="s">
        <v>297</v>
      </c>
      <c r="Q46" s="8" t="s">
        <v>298</v>
      </c>
      <c r="R46" s="8" t="s">
        <v>299</v>
      </c>
    </row>
    <row r="47">
      <c r="B47" s="1" t="s">
        <v>261</v>
      </c>
      <c r="C47" s="8" t="s">
        <v>253</v>
      </c>
      <c r="D47" s="1">
        <v>1.0</v>
      </c>
      <c r="E47" s="1" t="s">
        <v>82</v>
      </c>
      <c r="F47" s="71">
        <v>8.4</v>
      </c>
      <c r="G47" s="9">
        <f t="shared" si="4"/>
        <v>10.92</v>
      </c>
      <c r="M47" s="8" t="s">
        <v>300</v>
      </c>
      <c r="N47" s="8" t="s">
        <v>301</v>
      </c>
      <c r="O47" s="8" t="s">
        <v>302</v>
      </c>
      <c r="P47" s="8" t="s">
        <v>303</v>
      </c>
      <c r="Q47" s="8" t="s">
        <v>287</v>
      </c>
      <c r="R47" s="8" t="s">
        <v>304</v>
      </c>
    </row>
    <row r="48">
      <c r="B48" s="1" t="s">
        <v>261</v>
      </c>
      <c r="C48" s="8" t="s">
        <v>257</v>
      </c>
      <c r="D48" s="1">
        <v>1.0</v>
      </c>
      <c r="E48" s="1" t="s">
        <v>82</v>
      </c>
      <c r="F48" s="71">
        <v>10.85</v>
      </c>
      <c r="G48" s="9">
        <f t="shared" si="4"/>
        <v>14.105</v>
      </c>
      <c r="M48" s="8"/>
      <c r="N48" s="8"/>
      <c r="O48" s="8"/>
      <c r="P48" s="8"/>
      <c r="Q48" s="8"/>
      <c r="R48" s="8"/>
    </row>
    <row r="49">
      <c r="B49" s="1" t="s">
        <v>261</v>
      </c>
      <c r="C49" s="8" t="s">
        <v>58</v>
      </c>
      <c r="D49" s="1">
        <v>1.0</v>
      </c>
      <c r="E49" s="1" t="s">
        <v>82</v>
      </c>
      <c r="F49" s="71">
        <v>12.22</v>
      </c>
      <c r="G49" s="9">
        <f t="shared" si="4"/>
        <v>15.886</v>
      </c>
      <c r="M49" s="73" t="s">
        <v>305</v>
      </c>
      <c r="N49" s="73" t="s">
        <v>306</v>
      </c>
      <c r="O49" s="8"/>
      <c r="P49" s="8"/>
      <c r="Q49" s="8"/>
      <c r="R49" s="8"/>
    </row>
    <row r="50">
      <c r="B50" s="1" t="s">
        <v>261</v>
      </c>
      <c r="C50" s="8" t="s">
        <v>266</v>
      </c>
      <c r="D50" s="1">
        <v>1.0</v>
      </c>
      <c r="E50" s="1" t="s">
        <v>82</v>
      </c>
      <c r="F50" s="71">
        <v>49.82</v>
      </c>
      <c r="G50" s="9">
        <f t="shared" si="4"/>
        <v>64.766</v>
      </c>
      <c r="M50" s="8" t="s">
        <v>307</v>
      </c>
      <c r="N50" s="8" t="s">
        <v>308</v>
      </c>
      <c r="O50" s="8"/>
      <c r="P50" s="8"/>
      <c r="Q50" s="8"/>
      <c r="R50" s="8"/>
    </row>
    <row r="51">
      <c r="A51" s="73" t="s">
        <v>271</v>
      </c>
      <c r="C51" s="73" t="s">
        <v>273</v>
      </c>
      <c r="M51" s="8" t="s">
        <v>309</v>
      </c>
      <c r="N51" s="8" t="s">
        <v>310</v>
      </c>
      <c r="O51" s="8"/>
      <c r="P51" s="8"/>
      <c r="Q51" s="8"/>
      <c r="R51" s="8"/>
    </row>
    <row r="52">
      <c r="A52" s="71" t="s">
        <v>311</v>
      </c>
      <c r="B52" s="8"/>
      <c r="C52" s="71">
        <v>11.5</v>
      </c>
      <c r="D52" s="1">
        <v>1.0</v>
      </c>
      <c r="E52" s="1" t="s">
        <v>85</v>
      </c>
      <c r="F52" s="71">
        <v>35.0</v>
      </c>
      <c r="G52" s="9">
        <f t="shared" ref="G52:G63" si="5">F52*1.3</f>
        <v>45.5</v>
      </c>
      <c r="M52" s="8" t="s">
        <v>312</v>
      </c>
      <c r="N52" s="8" t="s">
        <v>313</v>
      </c>
      <c r="O52" s="8"/>
      <c r="P52" s="8"/>
      <c r="Q52" s="8"/>
      <c r="R52" s="8"/>
    </row>
    <row r="53">
      <c r="A53" s="71" t="s">
        <v>314</v>
      </c>
      <c r="B53" s="71"/>
      <c r="C53" s="71">
        <v>15.0</v>
      </c>
      <c r="D53" s="1">
        <v>1.0</v>
      </c>
      <c r="E53" s="1" t="s">
        <v>85</v>
      </c>
      <c r="F53" s="71">
        <v>40.0</v>
      </c>
      <c r="G53" s="9">
        <f t="shared" si="5"/>
        <v>52</v>
      </c>
      <c r="M53" s="8" t="s">
        <v>315</v>
      </c>
      <c r="N53" s="8" t="s">
        <v>316</v>
      </c>
      <c r="O53" s="8"/>
      <c r="P53" s="8"/>
      <c r="Q53" s="8"/>
      <c r="R53" s="8"/>
    </row>
    <row r="54">
      <c r="A54" s="71" t="s">
        <v>317</v>
      </c>
      <c r="B54" s="71"/>
      <c r="C54" s="71">
        <v>11.0</v>
      </c>
      <c r="D54" s="1">
        <v>1.0</v>
      </c>
      <c r="E54" s="1" t="s">
        <v>85</v>
      </c>
      <c r="F54" s="71">
        <v>38.0</v>
      </c>
      <c r="G54" s="9">
        <f t="shared" si="5"/>
        <v>49.4</v>
      </c>
      <c r="M54" s="8"/>
      <c r="N54" s="8"/>
      <c r="O54" s="8"/>
      <c r="P54" s="8"/>
      <c r="Q54" s="8"/>
      <c r="R54" s="8"/>
    </row>
    <row r="55">
      <c r="A55" s="71" t="s">
        <v>318</v>
      </c>
      <c r="B55" s="8"/>
      <c r="C55" s="71">
        <v>13.0</v>
      </c>
      <c r="D55" s="1">
        <v>1.0</v>
      </c>
      <c r="E55" s="1" t="s">
        <v>85</v>
      </c>
      <c r="F55" s="71">
        <v>32.0</v>
      </c>
      <c r="G55" s="9">
        <f t="shared" si="5"/>
        <v>41.6</v>
      </c>
      <c r="M55" s="73" t="s">
        <v>319</v>
      </c>
      <c r="N55" s="73" t="s">
        <v>320</v>
      </c>
      <c r="O55" s="73" t="s">
        <v>321</v>
      </c>
      <c r="P55" s="73" t="s">
        <v>322</v>
      </c>
      <c r="Q55" s="73" t="s">
        <v>306</v>
      </c>
      <c r="R55" s="73" t="s">
        <v>323</v>
      </c>
    </row>
    <row r="56">
      <c r="A56" s="71" t="s">
        <v>324</v>
      </c>
      <c r="B56" s="71"/>
      <c r="C56" s="71">
        <v>12.0</v>
      </c>
      <c r="D56" s="1">
        <v>1.0</v>
      </c>
      <c r="E56" s="1" t="s">
        <v>85</v>
      </c>
      <c r="F56" s="71">
        <v>45.0</v>
      </c>
      <c r="G56" s="9">
        <f t="shared" si="5"/>
        <v>58.5</v>
      </c>
      <c r="M56" s="8" t="s">
        <v>325</v>
      </c>
      <c r="N56" s="8" t="s">
        <v>326</v>
      </c>
      <c r="O56" s="8" t="s">
        <v>327</v>
      </c>
      <c r="P56" s="8" t="s">
        <v>328</v>
      </c>
      <c r="Q56" s="8" t="s">
        <v>329</v>
      </c>
      <c r="R56" s="8" t="s">
        <v>330</v>
      </c>
    </row>
    <row r="57">
      <c r="A57" s="71" t="s">
        <v>53</v>
      </c>
      <c r="C57" s="1">
        <v>12.0</v>
      </c>
      <c r="D57" s="1">
        <v>1.0</v>
      </c>
      <c r="E57" s="1" t="s">
        <v>85</v>
      </c>
      <c r="F57" s="74">
        <v>25.0</v>
      </c>
      <c r="G57" s="9">
        <f t="shared" si="5"/>
        <v>32.5</v>
      </c>
      <c r="M57" s="8" t="s">
        <v>331</v>
      </c>
      <c r="N57" s="8" t="s">
        <v>332</v>
      </c>
      <c r="O57" s="8" t="s">
        <v>327</v>
      </c>
      <c r="P57" s="8" t="s">
        <v>333</v>
      </c>
      <c r="Q57" s="8" t="s">
        <v>334</v>
      </c>
      <c r="R57" s="8" t="s">
        <v>335</v>
      </c>
    </row>
    <row r="58">
      <c r="A58" s="8" t="s">
        <v>336</v>
      </c>
      <c r="C58" s="1">
        <v>27.0</v>
      </c>
      <c r="D58" s="1">
        <v>1.0</v>
      </c>
      <c r="E58" s="1" t="s">
        <v>85</v>
      </c>
      <c r="F58" s="74">
        <v>56.8</v>
      </c>
      <c r="G58" s="9">
        <f t="shared" si="5"/>
        <v>73.84</v>
      </c>
      <c r="M58" s="8" t="s">
        <v>337</v>
      </c>
      <c r="N58" s="8" t="s">
        <v>338</v>
      </c>
      <c r="O58" s="8" t="s">
        <v>339</v>
      </c>
      <c r="P58" s="8" t="s">
        <v>340</v>
      </c>
      <c r="Q58" s="8" t="s">
        <v>341</v>
      </c>
      <c r="R58" s="8" t="s">
        <v>342</v>
      </c>
    </row>
    <row r="59">
      <c r="A59" s="8" t="s">
        <v>343</v>
      </c>
      <c r="C59" s="1">
        <v>25.0</v>
      </c>
      <c r="D59" s="1">
        <v>1.0</v>
      </c>
      <c r="E59" s="1" t="s">
        <v>85</v>
      </c>
      <c r="F59" s="75">
        <f>(F58+F57)/2</f>
        <v>40.9</v>
      </c>
      <c r="G59" s="9">
        <f t="shared" si="5"/>
        <v>53.17</v>
      </c>
      <c r="M59" s="8" t="s">
        <v>344</v>
      </c>
      <c r="N59" s="8" t="s">
        <v>345</v>
      </c>
      <c r="O59" s="8" t="s">
        <v>346</v>
      </c>
      <c r="P59" s="8" t="s">
        <v>347</v>
      </c>
      <c r="Q59" s="8" t="s">
        <v>348</v>
      </c>
      <c r="R59" s="8" t="s">
        <v>349</v>
      </c>
    </row>
    <row r="60">
      <c r="A60" s="8" t="s">
        <v>350</v>
      </c>
      <c r="C60" s="1">
        <v>10.0</v>
      </c>
      <c r="D60" s="1">
        <v>1.0</v>
      </c>
      <c r="E60" s="1" t="s">
        <v>85</v>
      </c>
      <c r="F60" s="74">
        <v>29.3</v>
      </c>
      <c r="G60" s="9">
        <f t="shared" si="5"/>
        <v>38.09</v>
      </c>
      <c r="M60" s="8" t="s">
        <v>351</v>
      </c>
      <c r="N60" s="8" t="s">
        <v>352</v>
      </c>
      <c r="O60" s="8" t="s">
        <v>339</v>
      </c>
      <c r="P60" s="8" t="s">
        <v>333</v>
      </c>
      <c r="Q60" s="8" t="s">
        <v>353</v>
      </c>
      <c r="R60" s="8" t="s">
        <v>354</v>
      </c>
    </row>
    <row r="61">
      <c r="A61" s="8" t="s">
        <v>355</v>
      </c>
      <c r="C61" s="1">
        <v>10.0</v>
      </c>
      <c r="D61" s="1">
        <v>1.0</v>
      </c>
      <c r="E61" s="1" t="s">
        <v>85</v>
      </c>
      <c r="F61" s="74">
        <v>28.4</v>
      </c>
      <c r="G61" s="9">
        <f t="shared" si="5"/>
        <v>36.92</v>
      </c>
      <c r="M61" s="8" t="s">
        <v>356</v>
      </c>
      <c r="N61" s="8" t="s">
        <v>357</v>
      </c>
      <c r="O61" s="8" t="s">
        <v>339</v>
      </c>
      <c r="P61" s="8" t="s">
        <v>328</v>
      </c>
      <c r="Q61" s="8" t="s">
        <v>358</v>
      </c>
      <c r="R61" s="8" t="s">
        <v>359</v>
      </c>
    </row>
    <row r="62">
      <c r="A62" s="8" t="s">
        <v>360</v>
      </c>
      <c r="C62" s="1">
        <v>13.0</v>
      </c>
      <c r="D62" s="1">
        <v>1.0</v>
      </c>
      <c r="E62" s="1" t="s">
        <v>85</v>
      </c>
      <c r="F62" s="74">
        <v>39.7</v>
      </c>
      <c r="G62" s="9">
        <f t="shared" si="5"/>
        <v>51.61</v>
      </c>
      <c r="M62" s="8" t="s">
        <v>361</v>
      </c>
      <c r="N62" s="8" t="s">
        <v>362</v>
      </c>
      <c r="O62" s="8" t="s">
        <v>339</v>
      </c>
      <c r="P62" s="8" t="s">
        <v>363</v>
      </c>
      <c r="Q62" s="8" t="s">
        <v>364</v>
      </c>
      <c r="R62" s="8" t="s">
        <v>365</v>
      </c>
    </row>
    <row r="63">
      <c r="A63" s="8" t="s">
        <v>366</v>
      </c>
      <c r="C63" s="1">
        <v>13.5</v>
      </c>
      <c r="D63" s="1">
        <v>1.0</v>
      </c>
      <c r="E63" s="1" t="s">
        <v>85</v>
      </c>
      <c r="F63" s="74">
        <v>29.0</v>
      </c>
      <c r="G63" s="9">
        <f t="shared" si="5"/>
        <v>37.7</v>
      </c>
      <c r="M63" s="8" t="s">
        <v>367</v>
      </c>
      <c r="N63" s="8" t="s">
        <v>368</v>
      </c>
      <c r="O63" s="8" t="s">
        <v>339</v>
      </c>
      <c r="P63" s="8" t="s">
        <v>363</v>
      </c>
      <c r="Q63" s="8" t="s">
        <v>369</v>
      </c>
      <c r="R63" s="8" t="s">
        <v>370</v>
      </c>
    </row>
    <row r="64">
      <c r="C64" s="1" t="s">
        <v>0</v>
      </c>
      <c r="M64" s="8"/>
      <c r="N64" s="8"/>
      <c r="O64" s="8"/>
      <c r="P64" s="8"/>
      <c r="Q64" s="8"/>
      <c r="R64" s="8"/>
    </row>
    <row r="65">
      <c r="A65" s="1" t="s">
        <v>371</v>
      </c>
      <c r="B65" s="1" t="s">
        <v>372</v>
      </c>
      <c r="C65" s="1" t="s">
        <v>373</v>
      </c>
      <c r="D65" s="1">
        <v>1.0</v>
      </c>
      <c r="E65" s="1" t="s">
        <v>82</v>
      </c>
      <c r="F65" s="1">
        <f>236/42</f>
        <v>5.619047619</v>
      </c>
      <c r="G65" s="9">
        <f t="shared" ref="G65:G71" si="6">F65*1.3</f>
        <v>7.304761905</v>
      </c>
      <c r="M65" s="8"/>
      <c r="N65" s="8"/>
      <c r="O65" s="8"/>
      <c r="P65" s="8"/>
      <c r="Q65" s="8"/>
      <c r="R65" s="8"/>
    </row>
    <row r="66">
      <c r="A66" s="1" t="s">
        <v>374</v>
      </c>
      <c r="B66" s="1" t="s">
        <v>375</v>
      </c>
      <c r="C66" s="1" t="s">
        <v>376</v>
      </c>
      <c r="D66" s="1">
        <v>1.0</v>
      </c>
      <c r="E66" s="1" t="s">
        <v>82</v>
      </c>
      <c r="F66" s="9">
        <f>62/18</f>
        <v>3.444444444</v>
      </c>
      <c r="G66" s="9">
        <f t="shared" si="6"/>
        <v>4.477777778</v>
      </c>
      <c r="M66" s="8"/>
      <c r="N66" s="8"/>
      <c r="O66" s="8"/>
      <c r="P66" s="8"/>
      <c r="Q66" s="8"/>
      <c r="R66" s="8"/>
    </row>
    <row r="67">
      <c r="A67" s="1" t="s">
        <v>65</v>
      </c>
      <c r="B67" s="1" t="s">
        <v>377</v>
      </c>
      <c r="C67" s="1" t="s">
        <v>378</v>
      </c>
      <c r="D67" s="1">
        <v>1.0</v>
      </c>
      <c r="E67" s="1" t="s">
        <v>85</v>
      </c>
      <c r="F67" s="1">
        <v>4.95</v>
      </c>
      <c r="G67" s="9">
        <f t="shared" si="6"/>
        <v>6.435</v>
      </c>
      <c r="M67" s="8"/>
      <c r="N67" s="8"/>
      <c r="O67" s="8"/>
      <c r="P67" s="8"/>
      <c r="Q67" s="8"/>
      <c r="R67" s="8"/>
    </row>
    <row r="68">
      <c r="A68" s="1" t="s">
        <v>379</v>
      </c>
      <c r="B68" s="1" t="s">
        <v>380</v>
      </c>
      <c r="C68" s="1" t="s">
        <v>381</v>
      </c>
      <c r="D68" s="1">
        <v>1.0</v>
      </c>
      <c r="E68" s="1" t="s">
        <v>85</v>
      </c>
      <c r="F68" s="1">
        <v>13.5</v>
      </c>
      <c r="G68" s="9">
        <f t="shared" si="6"/>
        <v>17.55</v>
      </c>
      <c r="M68" s="8"/>
      <c r="N68" s="8"/>
      <c r="O68" s="8"/>
      <c r="P68" s="8"/>
      <c r="Q68" s="8"/>
      <c r="R68" s="8"/>
    </row>
    <row r="69">
      <c r="A69" s="1" t="s">
        <v>382</v>
      </c>
      <c r="B69" s="1" t="s">
        <v>45</v>
      </c>
      <c r="C69" s="1" t="s">
        <v>373</v>
      </c>
      <c r="D69" s="1">
        <v>1.0</v>
      </c>
      <c r="E69" s="1" t="s">
        <v>82</v>
      </c>
      <c r="F69" s="1">
        <v>8.5</v>
      </c>
      <c r="G69" s="9">
        <f t="shared" si="6"/>
        <v>11.05</v>
      </c>
      <c r="M69" s="8"/>
      <c r="N69" s="8"/>
      <c r="O69" s="8"/>
      <c r="P69" s="8"/>
      <c r="Q69" s="8"/>
      <c r="R69" s="8"/>
    </row>
    <row r="70">
      <c r="A70" s="1" t="s">
        <v>383</v>
      </c>
      <c r="B70" s="1" t="s">
        <v>372</v>
      </c>
      <c r="C70" s="79" t="s">
        <v>384</v>
      </c>
      <c r="D70" s="1">
        <v>1.0</v>
      </c>
      <c r="E70" s="1" t="s">
        <v>82</v>
      </c>
      <c r="F70" s="1">
        <v>0.45</v>
      </c>
      <c r="G70" s="9">
        <f t="shared" si="6"/>
        <v>0.585</v>
      </c>
      <c r="M70" s="73" t="s">
        <v>385</v>
      </c>
      <c r="N70" s="73" t="s">
        <v>386</v>
      </c>
      <c r="O70" s="49" t="s">
        <v>387</v>
      </c>
      <c r="P70" s="49" t="s">
        <v>388</v>
      </c>
      <c r="Q70" s="49" t="s">
        <v>389</v>
      </c>
      <c r="R70" s="8"/>
    </row>
    <row r="71">
      <c r="A71" s="1" t="s">
        <v>51</v>
      </c>
      <c r="B71" s="1" t="s">
        <v>375</v>
      </c>
      <c r="C71" s="79" t="s">
        <v>390</v>
      </c>
      <c r="D71" s="1">
        <v>1.0</v>
      </c>
      <c r="E71" s="1" t="s">
        <v>82</v>
      </c>
      <c r="F71" s="1">
        <v>0.48</v>
      </c>
      <c r="G71" s="9">
        <f t="shared" si="6"/>
        <v>0.624</v>
      </c>
      <c r="M71" s="8" t="s">
        <v>391</v>
      </c>
      <c r="N71" s="8" t="s">
        <v>52</v>
      </c>
      <c r="O71" s="80" t="s">
        <v>392</v>
      </c>
      <c r="P71" s="80" t="s">
        <v>393</v>
      </c>
      <c r="Q71" s="75" t="s">
        <v>394</v>
      </c>
      <c r="R71" s="8"/>
    </row>
    <row r="72">
      <c r="M72" s="8" t="s">
        <v>336</v>
      </c>
      <c r="N72" s="8" t="s">
        <v>52</v>
      </c>
      <c r="O72" s="80" t="s">
        <v>395</v>
      </c>
      <c r="P72" s="80" t="s">
        <v>396</v>
      </c>
      <c r="Q72" s="75" t="s">
        <v>397</v>
      </c>
      <c r="R72" s="8"/>
    </row>
    <row r="73">
      <c r="M73" s="8" t="s">
        <v>343</v>
      </c>
      <c r="N73" s="8" t="s">
        <v>52</v>
      </c>
      <c r="O73" s="75" t="s">
        <v>398</v>
      </c>
      <c r="P73" s="75" t="s">
        <v>399</v>
      </c>
      <c r="Q73" s="75" t="s">
        <v>400</v>
      </c>
      <c r="R73" s="8"/>
    </row>
    <row r="74">
      <c r="M74" s="8" t="s">
        <v>350</v>
      </c>
      <c r="N74" s="8" t="s">
        <v>60</v>
      </c>
      <c r="O74" s="80" t="s">
        <v>401</v>
      </c>
      <c r="P74" s="80" t="s">
        <v>402</v>
      </c>
      <c r="Q74" s="75" t="s">
        <v>403</v>
      </c>
      <c r="R74" s="8"/>
    </row>
    <row r="75">
      <c r="M75" s="8" t="s">
        <v>355</v>
      </c>
      <c r="N75" s="8" t="s">
        <v>60</v>
      </c>
      <c r="O75" s="80" t="s">
        <v>404</v>
      </c>
      <c r="P75" s="80" t="s">
        <v>405</v>
      </c>
      <c r="Q75" s="75" t="s">
        <v>406</v>
      </c>
      <c r="R75" s="8"/>
    </row>
    <row r="76">
      <c r="M76" s="8" t="s">
        <v>360</v>
      </c>
      <c r="N76" s="8" t="s">
        <v>60</v>
      </c>
      <c r="O76" s="80" t="s">
        <v>407</v>
      </c>
      <c r="P76" s="80" t="s">
        <v>408</v>
      </c>
      <c r="Q76" s="75" t="s">
        <v>409</v>
      </c>
      <c r="R76" s="8"/>
    </row>
    <row r="77">
      <c r="M77" s="8" t="s">
        <v>366</v>
      </c>
      <c r="N77" s="8" t="s">
        <v>60</v>
      </c>
      <c r="O77" s="80" t="s">
        <v>410</v>
      </c>
      <c r="P77" s="80" t="s">
        <v>411</v>
      </c>
      <c r="Q77" s="75" t="s">
        <v>412</v>
      </c>
      <c r="R77" s="8"/>
    </row>
    <row r="78">
      <c r="M78" s="8"/>
      <c r="N78" s="8"/>
      <c r="O78" s="8"/>
      <c r="P78" s="8"/>
      <c r="Q78" s="8"/>
      <c r="R78" s="8"/>
    </row>
  </sheetData>
  <mergeCells count="1">
    <mergeCell ref="A4:I4"/>
  </mergeCells>
  <dataValidations>
    <dataValidation type="list" allowBlank="1" showErrorMessage="1" sqref="E5:E15 E17:E28 E30:E37 E39:E50 E52:E63 E65:E71">
      <formula1>"ml,m²,u"</formula1>
    </dataValidation>
  </dataValidations>
  <hyperlinks>
    <hyperlink r:id="rId1" ref="R29"/>
    <hyperlink r:id="rId2" ref="R30"/>
    <hyperlink r:id="rId3" ref="R31"/>
    <hyperlink r:id="rId4" ref="R32"/>
    <hyperlink r:id="rId5" ref="R33"/>
    <hyperlink r:id="rId6" ref="R34"/>
    <hyperlink r:id="rId7" ref="R35"/>
    <hyperlink r:id="rId8" ref="R36"/>
    <hyperlink r:id="rId9" ref="R37"/>
    <hyperlink r:id="rId10" ref="R38"/>
    <hyperlink r:id="rId11" ref="R39"/>
    <hyperlink r:id="rId12" ref="R40"/>
    <hyperlink r:id="rId13" ref="O71"/>
    <hyperlink r:id="rId14" ref="P71"/>
    <hyperlink r:id="rId15" ref="O72"/>
    <hyperlink r:id="rId16" ref="P72"/>
    <hyperlink r:id="rId17" ref="O74"/>
    <hyperlink r:id="rId18" ref="P74"/>
    <hyperlink r:id="rId19" ref="O75"/>
    <hyperlink r:id="rId20" ref="P75"/>
    <hyperlink r:id="rId21" ref="O76"/>
    <hyperlink r:id="rId22" ref="P76"/>
    <hyperlink r:id="rId23" ref="O77"/>
    <hyperlink r:id="rId24" ref="P77"/>
  </hyperlinks>
  <drawing r:id="rId25"/>
</worksheet>
</file>